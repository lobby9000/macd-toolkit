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MACD_EMA" sheetId="3" state="visible" r:id="rId5"/>
    <sheet name="MACD_SMA" sheetId="4" state="visible" r:id="rId6"/>
    <sheet name="RSI" sheetId="5" state="visible" r:id="rId7"/>
    <sheet name="Ejemplo_a_mano" sheetId="6" state="visible" r:id="rId8"/>
    <sheet name="Graficas" sheetId="7" state="visible" r:id="rId9"/>
  </sheets>
  <definedNames>
    <definedName function="false" hidden="false" name="a_len" vbProcedure="false">MACD_EMA!$D$4</definedName>
    <definedName function="false" hidden="false" name="a_rap" vbProcedure="false">MACD_EMA!$D$3</definedName>
    <definedName function="false" hidden="false" name="a_sen" vbProcedure="false">MACD_EMA!$D$5</definedName>
    <definedName function="false" hidden="false" name="N_len" vbProcedure="false">MACD_EMA!$C$4</definedName>
    <definedName function="false" hidden="false" name="N_rap" vbProcedure="false">MACD_EMA!$C$3</definedName>
    <definedName function="false" hidden="false" name="N_rsi" vbProcedure="false">RSI!$C$3</definedName>
    <definedName function="false" hidden="false" name="N_sen" vbProcedure="false">MACD_EMA!$C$5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Configuración pedida en clase: 12 / 26 / 9. La rápida debe ser menor que la lenta.</t>
        </r>
      </text>
    </comment>
    <comment ref="D8" authorId="0">
      <text>
        <r>
          <rPr>
            <sz val="10"/>
            <rFont val="Arial"/>
            <family val="2"/>
          </rPr>
          <t xml:space="preserve">t &lt; N: vacío. t = N: promedio simple de los primeros N cierres (semilla). t &gt; N: alfa*Cierre + (1-alfa)*EMA anterior.</t>
        </r>
      </text>
    </comment>
    <comment ref="G8" authorId="0">
      <text>
        <r>
          <rPr>
            <sz val="10"/>
            <rFont val="Arial"/>
            <family val="2"/>
          </rPr>
          <t xml:space="preserve">EMA de 9 periodos aplicada a la columna MACD. Semilla: promedio de los primeros 9 MACD (PROMEDIO ignora las celdas vacías de arriba).</t>
        </r>
      </text>
    </comment>
    <comment ref="K8" authorId="0">
      <text>
        <r>
          <rPr>
            <sz val="10"/>
            <rFont val="Arial"/>
            <family val="2"/>
          </rPr>
          <t xml:space="preserve">Definición vista en clase: si |MACD| baja, las EMA convergen (momentum se debilita); si sube, divergen (momentum se fortalece).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Valor obtenido en clase (dato del profesor).</t>
        </r>
      </text>
    </comment>
  </commentList>
</comments>
</file>

<file path=xl/sharedStrings.xml><?xml version="1.0" encoding="utf-8"?>
<sst xmlns="http://schemas.openxmlformats.org/spreadsheetml/2006/main" count="112" uniqueCount="96">
  <si>
    <t xml:space="preserve">Plantilla MACD(12, 26, 9) con medias simples y exponenciales</t>
  </si>
  <si>
    <t xml:space="preserve">Qué editar</t>
  </si>
  <si>
    <t xml:space="preserve">Solo las celdas con fondo amarillo y texto azul: fechas y cierres en la hoja Datos, y los tres periodos en la parte superior de MACD_EMA (valen para todo el libro).</t>
  </si>
  <si>
    <t xml:space="preserve">Datos de ejemplo</t>
  </si>
  <si>
    <t xml:space="preserve">La hoja Datos trae una serie SINTÉTICA generada al azar (104 viernes). No es ninguna emisora real. Reemplázala con tus cierres antes de entregar.</t>
  </si>
  <si>
    <t xml:space="preserve">Cómo pegar tus datos</t>
  </si>
  <si>
    <t xml:space="preserve">Pega fechas en Datos!A2 hacia abajo y cierres en Datos!B2 hacia abajo, del más antiguo al más reciente. Semanal = cierre del viernes; mensual = último cierre del mes.</t>
  </si>
  <si>
    <t xml:space="preserve">Si tienes otro número de filas</t>
  </si>
  <si>
    <t xml:space="preserve">Las hojas de cálculo tienen 104 filas (9 a 112). Si pegas más, selecciona la última fila de cada hoja y arrástrala hacia abajo. Si pegas menos, borra las filas sobrantes. Después ajusta el rango de las gráficas (clic derecho &gt; Seleccionar datos).</t>
  </si>
  <si>
    <t xml:space="preserve">MACD_EMA</t>
  </si>
  <si>
    <t xml:space="preserve">Versión estándar: EMA con alfa = 2/(N+1), semilla = SMA de los primeros N valores. MACD = EMA12 - EMA26; Señal = EMA9 del MACD; Histograma = MACD - Señal.</t>
  </si>
  <si>
    <t xml:space="preserve">MACD_SMA</t>
  </si>
  <si>
    <t xml:space="preserve">Misma cuenta con medias simples (variante permitida en clase; útil para comparar).</t>
  </si>
  <si>
    <t xml:space="preserve">RSI</t>
  </si>
  <si>
    <t xml:space="preserve">RSI(14) como se hizo en clase (promedios simples de 14 cambios) y con el suavizado de Wilder.</t>
  </si>
  <si>
    <t xml:space="preserve">Ejemplo_a_mano</t>
  </si>
  <si>
    <t xml:space="preserve">MACD(3, 6, 3) sobre 12 precios pequeños para seguir cada paso con calculadora.</t>
  </si>
  <si>
    <t xml:space="preserve">Graficas</t>
  </si>
  <si>
    <t xml:space="preserve">Precio con las dos EMA y panel MACD/Señal/Histograma de los últimos 26 periodos (filas 87 a 112).</t>
  </si>
  <si>
    <t xml:space="preserve">Primeros valores</t>
  </si>
  <si>
    <t xml:space="preserve">Con 12/26/9: la EMA12 aparece en t=12, la EMA26 y el MACD en t=26, la señal y el histograma en t=34. Por eso se necesita más historia que los 26 periodos que se reportan.</t>
  </si>
  <si>
    <t xml:space="preserve">Separador de argumentos</t>
  </si>
  <si>
    <t xml:space="preserve">Las fórmulas se guardan en formato interno; Excel las muestra con los nombres y separadores de tu idioma (en español de México: SI, PROMEDIO, Y, O, INDICE, con coma).</t>
  </si>
  <si>
    <t xml:space="preserve">Nombres definidos</t>
  </si>
  <si>
    <t xml:space="preserve">N_rap, N_len, N_sen, a_rap, a_len, a_sen y N_rsi apuntan a las celdas de parámetros. Se ven en Fórmulas &gt; Administrador de nombres.</t>
  </si>
  <si>
    <t xml:space="preserve">Colores</t>
  </si>
  <si>
    <t xml:space="preserve">Azul = dato que tú capturas. Negro = fórmula. Verde = vínculo a otra hoja.</t>
  </si>
  <si>
    <t xml:space="preserve">Aviso</t>
  </si>
  <si>
    <t xml:space="preserve">Material académico del diplomado; no es recomendación de inversión.</t>
  </si>
  <si>
    <t xml:space="preserve">Fecha</t>
  </si>
  <si>
    <t xml:space="preserve">Cierre</t>
  </si>
  <si>
    <t xml:space="preserve">SERIE SINTÉTICA DE EJEMPLO: reemplazar con cierres reales (del más antiguo al más reciente).</t>
  </si>
  <si>
    <t xml:space="preserve">Fuente de tus datos:</t>
  </si>
  <si>
    <t xml:space="preserve">[Yahoo Finance / Investing / WSJ, ticker, fecha de descarga]</t>
  </si>
  <si>
    <t xml:space="preserve">Frecuencia:</t>
  </si>
  <si>
    <t xml:space="preserve">Semanal (cierre del viernes)</t>
  </si>
  <si>
    <t xml:space="preserve">MACD con medias móviles exponenciales</t>
  </si>
  <si>
    <t xml:space="preserve">Parámetro</t>
  </si>
  <si>
    <t xml:space="preserve">N</t>
  </si>
  <si>
    <t xml:space="preserve">alfa = 2/(N+1)</t>
  </si>
  <si>
    <t xml:space="preserve">Periodo EMA rápida</t>
  </si>
  <si>
    <t xml:space="preserve">Primer MACD en t =</t>
  </si>
  <si>
    <t xml:space="preserve">En tendencia de pendiente m constante: MACD tiende a (G6 - G5) * m = 7 m.</t>
  </si>
  <si>
    <t xml:space="preserve">Periodo EMA lenta</t>
  </si>
  <si>
    <t xml:space="preserve">Primera señal en t =</t>
  </si>
  <si>
    <t xml:space="preserve">Periodo línea de señal</t>
  </si>
  <si>
    <t xml:space="preserve">Retraso EMA rápida (N-1)/2 =</t>
  </si>
  <si>
    <t xml:space="preserve">Retraso EMA lenta (N-1)/2 =</t>
  </si>
  <si>
    <t xml:space="preserve">t</t>
  </si>
  <si>
    <t xml:space="preserve">EMA rápida</t>
  </si>
  <si>
    <t xml:space="preserve">EMA lenta</t>
  </si>
  <si>
    <t xml:space="preserve">MACD</t>
  </si>
  <si>
    <t xml:space="preserve">Señal</t>
  </si>
  <si>
    <t xml:space="preserve">Histograma</t>
  </si>
  <si>
    <t xml:space="preserve">Cruce MACD/Señal</t>
  </si>
  <si>
    <t xml:space="preserve">MACD vs cero</t>
  </si>
  <si>
    <t xml:space="preserve">EMAs se acercan o separan</t>
  </si>
  <si>
    <t xml:space="preserve">PPO (MACD / EMA lenta)</t>
  </si>
  <si>
    <t xml:space="preserve">MACD con medias móviles simples (variante para comparar)</t>
  </si>
  <si>
    <t xml:space="preserve">Usa los mismos periodos que MACD_EMA (N_rap, N_len, N_sen).</t>
  </si>
  <si>
    <t xml:space="preserve">SMA de N en la fila r = PROMEDIO de las N filas que terminan en r (INDICE arma el inicio del rango).</t>
  </si>
  <si>
    <t xml:space="preserve">SMA rápida</t>
  </si>
  <si>
    <t xml:space="preserve">SMA lenta</t>
  </si>
  <si>
    <t xml:space="preserve">MACD (SMA)</t>
  </si>
  <si>
    <t xml:space="preserve">Señal (SMA)</t>
  </si>
  <si>
    <t xml:space="preserve">MACD(SMA) - MACD(EMA)</t>
  </si>
  <si>
    <t xml:space="preserve">RSI: método de clase (promedios simples) y método de Wilder</t>
  </si>
  <si>
    <t xml:space="preserve">Periodo RSI</t>
  </si>
  <si>
    <t xml:space="preserve">Comprobación de clase: con RS =</t>
  </si>
  <si>
    <t xml:space="preserve">RSI = 100 - 100/(1+RS) =</t>
  </si>
  <si>
    <t xml:space="preserve">Zonas: &gt; 70 sobrecompra, &lt; 30 sobreventa, 30 a 70 equilibrio.</t>
  </si>
  <si>
    <t xml:space="preserve">Cambio</t>
  </si>
  <si>
    <t xml:space="preserve">Ganancia</t>
  </si>
  <si>
    <t xml:space="preserve">Pérdida</t>
  </si>
  <si>
    <t xml:space="preserve">Prom. ganancia (simple)</t>
  </si>
  <si>
    <t xml:space="preserve">Prom. pérdida (simple)</t>
  </si>
  <si>
    <t xml:space="preserve">RS (simple)</t>
  </si>
  <si>
    <t xml:space="preserve">RSI (simple)</t>
  </si>
  <si>
    <t xml:space="preserve">Prom. ganancia (Wilder)</t>
  </si>
  <si>
    <t xml:space="preserve">Prom. pérdida (Wilder)</t>
  </si>
  <si>
    <t xml:space="preserve">RSI (Wilder)</t>
  </si>
  <si>
    <t xml:space="preserve">Zona (Wilder)</t>
  </si>
  <si>
    <t xml:space="preserve">MACD(3, 6, 3) a mano sobre 12 precios</t>
  </si>
  <si>
    <t xml:space="preserve">Mismas fórmulas que MACD_EMA con periodos cortos para poder verificar cada celda con calculadora. alfa(3) = 0.5 ; alfa(6) = 2/7.</t>
  </si>
  <si>
    <t xml:space="preserve">Rápida</t>
  </si>
  <si>
    <t xml:space="preserve">Lenta</t>
  </si>
  <si>
    <t xml:space="preserve">alfa</t>
  </si>
  <si>
    <t xml:space="preserve">EMA 3</t>
  </si>
  <si>
    <t xml:space="preserve">EMA 6</t>
  </si>
  <si>
    <t xml:space="preserve">Señal 3</t>
  </si>
  <si>
    <t xml:space="preserve">Valores esperados (calculados con macd_toolkit.py):</t>
  </si>
  <si>
    <t xml:space="preserve">t=6: EMA6 = 11.8333, MACD = 1.1667</t>
  </si>
  <si>
    <t xml:space="preserve">t=8: Señal = 1.0079 (promedio de los MACD de t=6,7,8), Histograma = 0.0159</t>
  </si>
  <si>
    <t xml:space="preserve">t=12: MACD = 0.3768, Señal = 0.5218, Histograma = -0.1450</t>
  </si>
  <si>
    <t xml:space="preserve">Últimos 26 periodos de MACD_EMA (filas 87 a 112)</t>
  </si>
  <si>
    <t xml:space="preserve">Si cambias el número de filas, actualiza los rangos: clic derecho en la gráfica &gt; Seleccionar datos. Si el eje de precio arranca en 0, ajusta el mínimo en Dar formato al eje.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</si>
</sst>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0.000000"/>
    <numFmt numFmtId="168" formatCode="0.0000"/>
    <numFmt numFmtId="169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FB7A0"/>
      <rgbColor rgb="FF878787"/>
      <rgbColor rgb="FF9999FF"/>
      <rgbColor rgb="FF993366"/>
      <rgbColor rgb="FFFFFFCC"/>
      <rgbColor rgb="FFDDE4EE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08A00"/>
      <rgbColor rgb="FFFF6600"/>
      <rgbColor rgb="FF555555"/>
      <rgbColor rgb="FF888888"/>
      <rgbColor rgb="FF003366"/>
      <rgbColor rgb="FF339966"/>
      <rgbColor rgb="FF003300"/>
      <rgbColor rgb="FF333300"/>
      <rgbColor rgb="FFB336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Cierre y medias exponenciales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"Cierre"</c:f>
              <c:strCache>
                <c:ptCount val="1"/>
                <c:pt idx="0">
                  <c:v>Cierre</c:v>
                </c:pt>
              </c:strCache>
            </c:strRef>
          </c:tx>
          <c:spPr>
            <a:solidFill>
              <a:srgbClr val="404040"/>
            </a:solidFill>
            <a:ln w="21960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MACD_EMA!$B$87:$B$112</c:f>
              <c:strCache>
                <c:ptCount val="26"/>
                <c:pt idx="0">
                  <c:v>2026-03-20</c:v>
                </c:pt>
                <c:pt idx="1">
                  <c:v>2026-03-27</c:v>
                </c:pt>
                <c:pt idx="2">
                  <c:v>2026-04-03</c:v>
                </c:pt>
                <c:pt idx="3">
                  <c:v>2026-04-10</c:v>
                </c:pt>
                <c:pt idx="4">
                  <c:v>2026-04-17</c:v>
                </c:pt>
                <c:pt idx="5">
                  <c:v>2026-04-24</c:v>
                </c:pt>
                <c:pt idx="6">
                  <c:v>2026-05-01</c:v>
                </c:pt>
                <c:pt idx="7">
                  <c:v>2026-05-08</c:v>
                </c:pt>
                <c:pt idx="8">
                  <c:v>2026-05-15</c:v>
                </c:pt>
                <c:pt idx="9">
                  <c:v>2026-05-22</c:v>
                </c:pt>
                <c:pt idx="10">
                  <c:v>2026-05-29</c:v>
                </c:pt>
                <c:pt idx="11">
                  <c:v>2026-06-05</c:v>
                </c:pt>
                <c:pt idx="12">
                  <c:v>2026-06-12</c:v>
                </c:pt>
                <c:pt idx="13">
                  <c:v>2026-06-19</c:v>
                </c:pt>
                <c:pt idx="14">
                  <c:v>2026-06-26</c:v>
                </c:pt>
                <c:pt idx="15">
                  <c:v>2026-07-03</c:v>
                </c:pt>
                <c:pt idx="16">
                  <c:v>2026-07-10</c:v>
                </c:pt>
                <c:pt idx="17">
                  <c:v>2026-07-17</c:v>
                </c:pt>
                <c:pt idx="18">
                  <c:v>2026-07-24</c:v>
                </c:pt>
                <c:pt idx="19">
                  <c:v>2026-07-31</c:v>
                </c:pt>
                <c:pt idx="20">
                  <c:v>2026-08-07</c:v>
                </c:pt>
                <c:pt idx="21">
                  <c:v>2026-08-14</c:v>
                </c:pt>
                <c:pt idx="22">
                  <c:v>2026-08-21</c:v>
                </c:pt>
                <c:pt idx="23">
                  <c:v>2026-08-28</c:v>
                </c:pt>
                <c:pt idx="24">
                  <c:v>2026-09-04</c:v>
                </c:pt>
                <c:pt idx="25">
                  <c:v>2026-09-11</c:v>
                </c:pt>
              </c:strCache>
            </c:strRef>
          </c:cat>
          <c:val>
            <c:numRef>
              <c:f>MACD_EMA!$C$87:$C$112</c:f>
              <c:numCache>
                <c:formatCode>0.00</c:formatCode>
                <c:ptCount val="26"/>
                <c:pt idx="0">
                  <c:v>238.2</c:v>
                </c:pt>
                <c:pt idx="1">
                  <c:v>232.42</c:v>
                </c:pt>
                <c:pt idx="2">
                  <c:v>241.28</c:v>
                </c:pt>
                <c:pt idx="3">
                  <c:v>242.81</c:v>
                </c:pt>
                <c:pt idx="4">
                  <c:v>242.67</c:v>
                </c:pt>
                <c:pt idx="5">
                  <c:v>232.49</c:v>
                </c:pt>
                <c:pt idx="6">
                  <c:v>226.97</c:v>
                </c:pt>
                <c:pt idx="7">
                  <c:v>220.67</c:v>
                </c:pt>
                <c:pt idx="8">
                  <c:v>212.34</c:v>
                </c:pt>
                <c:pt idx="9">
                  <c:v>217.64</c:v>
                </c:pt>
                <c:pt idx="10">
                  <c:v>225.44</c:v>
                </c:pt>
                <c:pt idx="11">
                  <c:v>232.31</c:v>
                </c:pt>
                <c:pt idx="12">
                  <c:v>225.72</c:v>
                </c:pt>
                <c:pt idx="13">
                  <c:v>218.44</c:v>
                </c:pt>
                <c:pt idx="14">
                  <c:v>222.1</c:v>
                </c:pt>
                <c:pt idx="15">
                  <c:v>224.43</c:v>
                </c:pt>
                <c:pt idx="16">
                  <c:v>222.12</c:v>
                </c:pt>
                <c:pt idx="17">
                  <c:v>216.6</c:v>
                </c:pt>
                <c:pt idx="18">
                  <c:v>210.71</c:v>
                </c:pt>
                <c:pt idx="19">
                  <c:v>210.84</c:v>
                </c:pt>
                <c:pt idx="20">
                  <c:v>206.07</c:v>
                </c:pt>
                <c:pt idx="21">
                  <c:v>207.56</c:v>
                </c:pt>
                <c:pt idx="22">
                  <c:v>200.85</c:v>
                </c:pt>
                <c:pt idx="23">
                  <c:v>199.64</c:v>
                </c:pt>
                <c:pt idx="24">
                  <c:v>214.17</c:v>
                </c:pt>
                <c:pt idx="25">
                  <c:v>218.77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"EMA rápida"</c:f>
              <c:strCache>
                <c:ptCount val="1"/>
                <c:pt idx="0">
                  <c:v>EMA rápida</c:v>
                </c:pt>
              </c:strCache>
            </c:strRef>
          </c:tx>
          <c:spPr>
            <a:solidFill>
              <a:srgbClr val="1f5fa8"/>
            </a:solidFill>
            <a:ln w="2196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MACD_EMA!$B$87:$B$112</c:f>
              <c:strCache>
                <c:ptCount val="26"/>
                <c:pt idx="0">
                  <c:v>2026-03-20</c:v>
                </c:pt>
                <c:pt idx="1">
                  <c:v>2026-03-27</c:v>
                </c:pt>
                <c:pt idx="2">
                  <c:v>2026-04-03</c:v>
                </c:pt>
                <c:pt idx="3">
                  <c:v>2026-04-10</c:v>
                </c:pt>
                <c:pt idx="4">
                  <c:v>2026-04-17</c:v>
                </c:pt>
                <c:pt idx="5">
                  <c:v>2026-04-24</c:v>
                </c:pt>
                <c:pt idx="6">
                  <c:v>2026-05-01</c:v>
                </c:pt>
                <c:pt idx="7">
                  <c:v>2026-05-08</c:v>
                </c:pt>
                <c:pt idx="8">
                  <c:v>2026-05-15</c:v>
                </c:pt>
                <c:pt idx="9">
                  <c:v>2026-05-22</c:v>
                </c:pt>
                <c:pt idx="10">
                  <c:v>2026-05-29</c:v>
                </c:pt>
                <c:pt idx="11">
                  <c:v>2026-06-05</c:v>
                </c:pt>
                <c:pt idx="12">
                  <c:v>2026-06-12</c:v>
                </c:pt>
                <c:pt idx="13">
                  <c:v>2026-06-19</c:v>
                </c:pt>
                <c:pt idx="14">
                  <c:v>2026-06-26</c:v>
                </c:pt>
                <c:pt idx="15">
                  <c:v>2026-07-03</c:v>
                </c:pt>
                <c:pt idx="16">
                  <c:v>2026-07-10</c:v>
                </c:pt>
                <c:pt idx="17">
                  <c:v>2026-07-17</c:v>
                </c:pt>
                <c:pt idx="18">
                  <c:v>2026-07-24</c:v>
                </c:pt>
                <c:pt idx="19">
                  <c:v>2026-07-31</c:v>
                </c:pt>
                <c:pt idx="20">
                  <c:v>2026-08-07</c:v>
                </c:pt>
                <c:pt idx="21">
                  <c:v>2026-08-14</c:v>
                </c:pt>
                <c:pt idx="22">
                  <c:v>2026-08-21</c:v>
                </c:pt>
                <c:pt idx="23">
                  <c:v>2026-08-28</c:v>
                </c:pt>
                <c:pt idx="24">
                  <c:v>2026-09-04</c:v>
                </c:pt>
                <c:pt idx="25">
                  <c:v>2026-09-11</c:v>
                </c:pt>
              </c:strCache>
            </c:strRef>
          </c:cat>
          <c:val>
            <c:numRef>
              <c:f>MACD_EMA!$D$87:$D$112</c:f>
              <c:numCache>
                <c:formatCode>0.0000</c:formatCode>
                <c:ptCount val="26"/>
                <c:pt idx="0">
                  <c:v>233.751190011501</c:v>
                </c:pt>
                <c:pt idx="1">
                  <c:v>233.546391548193</c:v>
                </c:pt>
                <c:pt idx="2">
                  <c:v>234.736177463856</c:v>
                </c:pt>
                <c:pt idx="3">
                  <c:v>235.978304007878</c:v>
                </c:pt>
                <c:pt idx="4">
                  <c:v>237.007795698974</c:v>
                </c:pt>
                <c:pt idx="5">
                  <c:v>236.312750206824</c:v>
                </c:pt>
                <c:pt idx="6">
                  <c:v>234.875404021159</c:v>
                </c:pt>
                <c:pt idx="7">
                  <c:v>232.689957248673</c:v>
                </c:pt>
                <c:pt idx="8">
                  <c:v>229.559194595031</c:v>
                </c:pt>
                <c:pt idx="9">
                  <c:v>227.725472349641</c:v>
                </c:pt>
                <c:pt idx="10">
                  <c:v>227.373861218927</c:v>
                </c:pt>
                <c:pt idx="11">
                  <c:v>228.133267185246</c:v>
                </c:pt>
                <c:pt idx="12">
                  <c:v>227.761995310593</c:v>
                </c:pt>
                <c:pt idx="13">
                  <c:v>226.327842185886</c:v>
                </c:pt>
                <c:pt idx="14">
                  <c:v>225.677404926519</c:v>
                </c:pt>
                <c:pt idx="15">
                  <c:v>225.485496476286</c:v>
                </c:pt>
                <c:pt idx="16">
                  <c:v>224.967727787626</c:v>
                </c:pt>
                <c:pt idx="17">
                  <c:v>223.680385051068</c:v>
                </c:pt>
                <c:pt idx="18">
                  <c:v>221.684941197058</c:v>
                </c:pt>
                <c:pt idx="19">
                  <c:v>220.016488705203</c:v>
                </c:pt>
                <c:pt idx="20">
                  <c:v>217.870875058249</c:v>
                </c:pt>
                <c:pt idx="21">
                  <c:v>216.284586587749</c:v>
                </c:pt>
                <c:pt idx="22">
                  <c:v>213.910034805018</c:v>
                </c:pt>
                <c:pt idx="23">
                  <c:v>211.714644835015</c:v>
                </c:pt>
                <c:pt idx="24">
                  <c:v>212.092391783475</c:v>
                </c:pt>
                <c:pt idx="25">
                  <c:v>213.119716124479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"EMA lenta"</c:f>
              <c:strCache>
                <c:ptCount val="1"/>
                <c:pt idx="0">
                  <c:v>EMA lenta</c:v>
                </c:pt>
              </c:strCache>
            </c:strRef>
          </c:tx>
          <c:spPr>
            <a:solidFill>
              <a:srgbClr val="b3362b"/>
            </a:solidFill>
            <a:ln w="21960">
              <a:solidFill>
                <a:srgbClr val="b336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MACD_EMA!$B$87:$B$112</c:f>
              <c:strCache>
                <c:ptCount val="26"/>
                <c:pt idx="0">
                  <c:v>2026-03-20</c:v>
                </c:pt>
                <c:pt idx="1">
                  <c:v>2026-03-27</c:v>
                </c:pt>
                <c:pt idx="2">
                  <c:v>2026-04-03</c:v>
                </c:pt>
                <c:pt idx="3">
                  <c:v>2026-04-10</c:v>
                </c:pt>
                <c:pt idx="4">
                  <c:v>2026-04-17</c:v>
                </c:pt>
                <c:pt idx="5">
                  <c:v>2026-04-24</c:v>
                </c:pt>
                <c:pt idx="6">
                  <c:v>2026-05-01</c:v>
                </c:pt>
                <c:pt idx="7">
                  <c:v>2026-05-08</c:v>
                </c:pt>
                <c:pt idx="8">
                  <c:v>2026-05-15</c:v>
                </c:pt>
                <c:pt idx="9">
                  <c:v>2026-05-22</c:v>
                </c:pt>
                <c:pt idx="10">
                  <c:v>2026-05-29</c:v>
                </c:pt>
                <c:pt idx="11">
                  <c:v>2026-06-05</c:v>
                </c:pt>
                <c:pt idx="12">
                  <c:v>2026-06-12</c:v>
                </c:pt>
                <c:pt idx="13">
                  <c:v>2026-06-19</c:v>
                </c:pt>
                <c:pt idx="14">
                  <c:v>2026-06-26</c:v>
                </c:pt>
                <c:pt idx="15">
                  <c:v>2026-07-03</c:v>
                </c:pt>
                <c:pt idx="16">
                  <c:v>2026-07-10</c:v>
                </c:pt>
                <c:pt idx="17">
                  <c:v>2026-07-17</c:v>
                </c:pt>
                <c:pt idx="18">
                  <c:v>2026-07-24</c:v>
                </c:pt>
                <c:pt idx="19">
                  <c:v>2026-07-31</c:v>
                </c:pt>
                <c:pt idx="20">
                  <c:v>2026-08-07</c:v>
                </c:pt>
                <c:pt idx="21">
                  <c:v>2026-08-14</c:v>
                </c:pt>
                <c:pt idx="22">
                  <c:v>2026-08-21</c:v>
                </c:pt>
                <c:pt idx="23">
                  <c:v>2026-08-28</c:v>
                </c:pt>
                <c:pt idx="24">
                  <c:v>2026-09-04</c:v>
                </c:pt>
                <c:pt idx="25">
                  <c:v>2026-09-11</c:v>
                </c:pt>
              </c:strCache>
            </c:strRef>
          </c:cat>
          <c:val>
            <c:numRef>
              <c:f>MACD_EMA!$E$87:$E$112</c:f>
              <c:numCache>
                <c:formatCode>0.0000</c:formatCode>
                <c:ptCount val="26"/>
                <c:pt idx="0">
                  <c:v>228.162005142784</c:v>
                </c:pt>
                <c:pt idx="1">
                  <c:v>228.477412169244</c:v>
                </c:pt>
                <c:pt idx="2">
                  <c:v>229.42575200856</c:v>
                </c:pt>
                <c:pt idx="3">
                  <c:v>230.417177785703</c:v>
                </c:pt>
                <c:pt idx="4">
                  <c:v>231.324794246022</c:v>
                </c:pt>
                <c:pt idx="5">
                  <c:v>231.411105783353</c:v>
                </c:pt>
                <c:pt idx="6">
                  <c:v>231.082134984586</c:v>
                </c:pt>
                <c:pt idx="7">
                  <c:v>230.310865726469</c:v>
                </c:pt>
                <c:pt idx="8">
                  <c:v>228.979690487471</c:v>
                </c:pt>
                <c:pt idx="9">
                  <c:v>228.139713414325</c:v>
                </c:pt>
                <c:pt idx="10">
                  <c:v>227.939734642894</c:v>
                </c:pt>
                <c:pt idx="11">
                  <c:v>228.263458002679</c:v>
                </c:pt>
                <c:pt idx="12">
                  <c:v>228.075053706185</c:v>
                </c:pt>
                <c:pt idx="13">
                  <c:v>227.361346024245</c:v>
                </c:pt>
                <c:pt idx="14">
                  <c:v>226.971616689116</c:v>
                </c:pt>
                <c:pt idx="15">
                  <c:v>226.783348786218</c:v>
                </c:pt>
                <c:pt idx="16">
                  <c:v>226.437915542795</c:v>
                </c:pt>
                <c:pt idx="17">
                  <c:v>225.709181058143</c:v>
                </c:pt>
                <c:pt idx="18">
                  <c:v>224.598130609392</c:v>
                </c:pt>
                <c:pt idx="19">
                  <c:v>223.579009823511</c:v>
                </c:pt>
                <c:pt idx="20">
                  <c:v>222.282046132881</c:v>
                </c:pt>
                <c:pt idx="21">
                  <c:v>221.191524197112</c:v>
                </c:pt>
                <c:pt idx="22">
                  <c:v>219.684744626955</c:v>
                </c:pt>
                <c:pt idx="23">
                  <c:v>218.199948728662</c:v>
                </c:pt>
                <c:pt idx="24">
                  <c:v>217.901434008021</c:v>
                </c:pt>
                <c:pt idx="25">
                  <c:v>217.965772229649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918182"/>
        <c:axId val="39386143"/>
      </c:lineChart>
      <c:catAx>
        <c:axId val="3391818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86143"/>
        <c:crosses val="autoZero"/>
        <c:auto val="1"/>
        <c:lblAlgn val="ctr"/>
        <c:lblOffset val="100"/>
        <c:noMultiLvlLbl val="0"/>
      </c:catAx>
      <c:valAx>
        <c:axId val="39386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Precio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181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MACD, señal e histograma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"Histograma"</c:f>
              <c:strCache>
                <c:ptCount val="1"/>
                <c:pt idx="0">
                  <c:v>Histograma</c:v>
                </c:pt>
              </c:strCache>
            </c:strRef>
          </c:tx>
          <c:spPr>
            <a:solidFill>
              <a:srgbClr val="8fb7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MACD_EMA!$B$87:$B$112</c:f>
              <c:strCache>
                <c:ptCount val="26"/>
                <c:pt idx="0">
                  <c:v>2026-03-20</c:v>
                </c:pt>
                <c:pt idx="1">
                  <c:v>2026-03-27</c:v>
                </c:pt>
                <c:pt idx="2">
                  <c:v>2026-04-03</c:v>
                </c:pt>
                <c:pt idx="3">
                  <c:v>2026-04-10</c:v>
                </c:pt>
                <c:pt idx="4">
                  <c:v>2026-04-17</c:v>
                </c:pt>
                <c:pt idx="5">
                  <c:v>2026-04-24</c:v>
                </c:pt>
                <c:pt idx="6">
                  <c:v>2026-05-01</c:v>
                </c:pt>
                <c:pt idx="7">
                  <c:v>2026-05-08</c:v>
                </c:pt>
                <c:pt idx="8">
                  <c:v>2026-05-15</c:v>
                </c:pt>
                <c:pt idx="9">
                  <c:v>2026-05-22</c:v>
                </c:pt>
                <c:pt idx="10">
                  <c:v>2026-05-29</c:v>
                </c:pt>
                <c:pt idx="11">
                  <c:v>2026-06-05</c:v>
                </c:pt>
                <c:pt idx="12">
                  <c:v>2026-06-12</c:v>
                </c:pt>
                <c:pt idx="13">
                  <c:v>2026-06-19</c:v>
                </c:pt>
                <c:pt idx="14">
                  <c:v>2026-06-26</c:v>
                </c:pt>
                <c:pt idx="15">
                  <c:v>2026-07-03</c:v>
                </c:pt>
                <c:pt idx="16">
                  <c:v>2026-07-10</c:v>
                </c:pt>
                <c:pt idx="17">
                  <c:v>2026-07-17</c:v>
                </c:pt>
                <c:pt idx="18">
                  <c:v>2026-07-24</c:v>
                </c:pt>
                <c:pt idx="19">
                  <c:v>2026-07-31</c:v>
                </c:pt>
                <c:pt idx="20">
                  <c:v>2026-08-07</c:v>
                </c:pt>
                <c:pt idx="21">
                  <c:v>2026-08-14</c:v>
                </c:pt>
                <c:pt idx="22">
                  <c:v>2026-08-21</c:v>
                </c:pt>
                <c:pt idx="23">
                  <c:v>2026-08-28</c:v>
                </c:pt>
                <c:pt idx="24">
                  <c:v>2026-09-04</c:v>
                </c:pt>
                <c:pt idx="25">
                  <c:v>2026-09-11</c:v>
                </c:pt>
              </c:strCache>
            </c:strRef>
          </c:cat>
          <c:val>
            <c:numRef>
              <c:f>MACD_EMA!$H$87:$H$112</c:f>
              <c:numCache>
                <c:formatCode>0.0000</c:formatCode>
                <c:ptCount val="26"/>
                <c:pt idx="0">
                  <c:v>0.42194083641903</c:v>
                </c:pt>
                <c:pt idx="1">
                  <c:v>-0.0786117226794394</c:v>
                </c:pt>
                <c:pt idx="2">
                  <c:v>0.130267482934313</c:v>
                </c:pt>
                <c:pt idx="3">
                  <c:v>0.304774599850212</c:v>
                </c:pt>
                <c:pt idx="4">
                  <c:v>0.341319864502082</c:v>
                </c:pt>
                <c:pt idx="5">
                  <c:v>-0.352029731983567</c:v>
                </c:pt>
                <c:pt idx="6">
                  <c:v>-1.16832409510547</c:v>
                </c:pt>
                <c:pt idx="7">
                  <c:v>-2.06600128757916</c:v>
                </c:pt>
                <c:pt idx="8">
                  <c:v>-3.09247096177874</c:v>
                </c:pt>
                <c:pt idx="9">
                  <c:v>-3.26897290721768</c:v>
                </c:pt>
                <c:pt idx="10">
                  <c:v>-2.73648421320019</c:v>
                </c:pt>
                <c:pt idx="11">
                  <c:v>-1.84064128533358</c:v>
                </c:pt>
                <c:pt idx="12">
                  <c:v>-1.61880709079364</c:v>
                </c:pt>
                <c:pt idx="13">
                  <c:v>-1.8714020268485</c:v>
                </c:pt>
                <c:pt idx="14">
                  <c:v>-1.70568796086909</c:v>
                </c:pt>
                <c:pt idx="15">
                  <c:v>-1.36746280656426</c:v>
                </c:pt>
                <c:pt idx="16">
                  <c:v>-1.23183860143998</c:v>
                </c:pt>
                <c:pt idx="17">
                  <c:v>-1.43235748267711</c:v>
                </c:pt>
                <c:pt idx="18">
                  <c:v>-1.85340071034903</c:v>
                </c:pt>
                <c:pt idx="19">
                  <c:v>-2.00218593305855</c:v>
                </c:pt>
                <c:pt idx="20">
                  <c:v>-2.28066871150591</c:v>
                </c:pt>
                <c:pt idx="21">
                  <c:v>-2.22114819698941</c:v>
                </c:pt>
                <c:pt idx="22">
                  <c:v>-2.47113632765085</c:v>
                </c:pt>
                <c:pt idx="23">
                  <c:v>-2.54538431948852</c:v>
                </c:pt>
                <c:pt idx="24">
                  <c:v>-1.49529812031016</c:v>
                </c:pt>
                <c:pt idx="25">
                  <c:v>-0.425849600747476</c:v>
                </c:pt>
              </c:numCache>
            </c:numRef>
          </c:val>
        </c:ser>
        <c:gapWidth val="40"/>
        <c:overlap val="0"/>
        <c:axId val="93170747"/>
        <c:axId val="27626964"/>
      </c:barChart>
      <c:lineChart>
        <c:grouping val="standard"/>
        <c:varyColors val="0"/>
        <c:ser>
          <c:idx val="1"/>
          <c:order val="1"/>
          <c:tx>
            <c:strRef>
              <c:f>"MACD"</c:f>
              <c:strCache>
                <c:ptCount val="1"/>
                <c:pt idx="0">
                  <c:v>MACD</c:v>
                </c:pt>
              </c:strCache>
            </c:strRef>
          </c:tx>
          <c:spPr>
            <a:solidFill>
              <a:srgbClr val="1f5fa8"/>
            </a:solidFill>
            <a:ln w="2196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MACD_EMA!$B$87:$B$112</c:f>
              <c:strCache>
                <c:ptCount val="26"/>
                <c:pt idx="0">
                  <c:v>2026-03-20</c:v>
                </c:pt>
                <c:pt idx="1">
                  <c:v>2026-03-27</c:v>
                </c:pt>
                <c:pt idx="2">
                  <c:v>2026-04-03</c:v>
                </c:pt>
                <c:pt idx="3">
                  <c:v>2026-04-10</c:v>
                </c:pt>
                <c:pt idx="4">
                  <c:v>2026-04-17</c:v>
                </c:pt>
                <c:pt idx="5">
                  <c:v>2026-04-24</c:v>
                </c:pt>
                <c:pt idx="6">
                  <c:v>2026-05-01</c:v>
                </c:pt>
                <c:pt idx="7">
                  <c:v>2026-05-08</c:v>
                </c:pt>
                <c:pt idx="8">
                  <c:v>2026-05-15</c:v>
                </c:pt>
                <c:pt idx="9">
                  <c:v>2026-05-22</c:v>
                </c:pt>
                <c:pt idx="10">
                  <c:v>2026-05-29</c:v>
                </c:pt>
                <c:pt idx="11">
                  <c:v>2026-06-05</c:v>
                </c:pt>
                <c:pt idx="12">
                  <c:v>2026-06-12</c:v>
                </c:pt>
                <c:pt idx="13">
                  <c:v>2026-06-19</c:v>
                </c:pt>
                <c:pt idx="14">
                  <c:v>2026-06-26</c:v>
                </c:pt>
                <c:pt idx="15">
                  <c:v>2026-07-03</c:v>
                </c:pt>
                <c:pt idx="16">
                  <c:v>2026-07-10</c:v>
                </c:pt>
                <c:pt idx="17">
                  <c:v>2026-07-17</c:v>
                </c:pt>
                <c:pt idx="18">
                  <c:v>2026-07-24</c:v>
                </c:pt>
                <c:pt idx="19">
                  <c:v>2026-07-31</c:v>
                </c:pt>
                <c:pt idx="20">
                  <c:v>2026-08-07</c:v>
                </c:pt>
                <c:pt idx="21">
                  <c:v>2026-08-14</c:v>
                </c:pt>
                <c:pt idx="22">
                  <c:v>2026-08-21</c:v>
                </c:pt>
                <c:pt idx="23">
                  <c:v>2026-08-28</c:v>
                </c:pt>
                <c:pt idx="24">
                  <c:v>2026-09-04</c:v>
                </c:pt>
                <c:pt idx="25">
                  <c:v>2026-09-11</c:v>
                </c:pt>
              </c:strCache>
            </c:strRef>
          </c:cat>
          <c:val>
            <c:numRef>
              <c:f>MACD_EMA!$F$87:$F$112</c:f>
              <c:numCache>
                <c:formatCode>0.0000</c:formatCode>
                <c:ptCount val="26"/>
                <c:pt idx="0">
                  <c:v>5.58918486871724</c:v>
                </c:pt>
                <c:pt idx="1">
                  <c:v>5.06897937894891</c:v>
                </c:pt>
                <c:pt idx="2">
                  <c:v>5.31042545529624</c:v>
                </c:pt>
                <c:pt idx="3">
                  <c:v>5.56112622217469</c:v>
                </c:pt>
                <c:pt idx="4">
                  <c:v>5.68300145295208</c:v>
                </c:pt>
                <c:pt idx="5">
                  <c:v>4.90164442347054</c:v>
                </c:pt>
                <c:pt idx="6">
                  <c:v>3.79326903657227</c:v>
                </c:pt>
                <c:pt idx="7">
                  <c:v>2.37909152220379</c:v>
                </c:pt>
                <c:pt idx="8">
                  <c:v>0.579504107559529</c:v>
                </c:pt>
                <c:pt idx="9">
                  <c:v>-0.414241064683836</c:v>
                </c:pt>
                <c:pt idx="10">
                  <c:v>-0.565873423966394</c:v>
                </c:pt>
                <c:pt idx="11">
                  <c:v>-0.130190817433174</c:v>
                </c:pt>
                <c:pt idx="12">
                  <c:v>-0.313058395591639</c:v>
                </c:pt>
                <c:pt idx="13">
                  <c:v>-1.03350383835863</c:v>
                </c:pt>
                <c:pt idx="14">
                  <c:v>-1.29421176259649</c:v>
                </c:pt>
                <c:pt idx="15">
                  <c:v>-1.29785230993272</c:v>
                </c:pt>
                <c:pt idx="16">
                  <c:v>-1.47018775516844</c:v>
                </c:pt>
                <c:pt idx="17">
                  <c:v>-2.02879600707485</c:v>
                </c:pt>
                <c:pt idx="18">
                  <c:v>-2.91318941233402</c:v>
                </c:pt>
                <c:pt idx="19">
                  <c:v>-3.56252111830818</c:v>
                </c:pt>
                <c:pt idx="20">
                  <c:v>-4.41117107463202</c:v>
                </c:pt>
                <c:pt idx="21">
                  <c:v>-4.90693760936287</c:v>
                </c:pt>
                <c:pt idx="22">
                  <c:v>-5.77470982193702</c:v>
                </c:pt>
                <c:pt idx="23">
                  <c:v>-6.48530389364683</c:v>
                </c:pt>
                <c:pt idx="24">
                  <c:v>-5.80904222454601</c:v>
                </c:pt>
                <c:pt idx="25">
                  <c:v>-4.84605610517019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"Señal"</c:f>
              <c:strCache>
                <c:ptCount val="1"/>
                <c:pt idx="0">
                  <c:v>Señal</c:v>
                </c:pt>
              </c:strCache>
            </c:strRef>
          </c:tx>
          <c:spPr>
            <a:solidFill>
              <a:srgbClr val="d08a00"/>
            </a:solidFill>
            <a:ln w="21960">
              <a:solidFill>
                <a:srgbClr val="d08a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MACD_EMA!$B$87:$B$112</c:f>
              <c:strCache>
                <c:ptCount val="26"/>
                <c:pt idx="0">
                  <c:v>2026-03-20</c:v>
                </c:pt>
                <c:pt idx="1">
                  <c:v>2026-03-27</c:v>
                </c:pt>
                <c:pt idx="2">
                  <c:v>2026-04-03</c:v>
                </c:pt>
                <c:pt idx="3">
                  <c:v>2026-04-10</c:v>
                </c:pt>
                <c:pt idx="4">
                  <c:v>2026-04-17</c:v>
                </c:pt>
                <c:pt idx="5">
                  <c:v>2026-04-24</c:v>
                </c:pt>
                <c:pt idx="6">
                  <c:v>2026-05-01</c:v>
                </c:pt>
                <c:pt idx="7">
                  <c:v>2026-05-08</c:v>
                </c:pt>
                <c:pt idx="8">
                  <c:v>2026-05-15</c:v>
                </c:pt>
                <c:pt idx="9">
                  <c:v>2026-05-22</c:v>
                </c:pt>
                <c:pt idx="10">
                  <c:v>2026-05-29</c:v>
                </c:pt>
                <c:pt idx="11">
                  <c:v>2026-06-05</c:v>
                </c:pt>
                <c:pt idx="12">
                  <c:v>2026-06-12</c:v>
                </c:pt>
                <c:pt idx="13">
                  <c:v>2026-06-19</c:v>
                </c:pt>
                <c:pt idx="14">
                  <c:v>2026-06-26</c:v>
                </c:pt>
                <c:pt idx="15">
                  <c:v>2026-07-03</c:v>
                </c:pt>
                <c:pt idx="16">
                  <c:v>2026-07-10</c:v>
                </c:pt>
                <c:pt idx="17">
                  <c:v>2026-07-17</c:v>
                </c:pt>
                <c:pt idx="18">
                  <c:v>2026-07-24</c:v>
                </c:pt>
                <c:pt idx="19">
                  <c:v>2026-07-31</c:v>
                </c:pt>
                <c:pt idx="20">
                  <c:v>2026-08-07</c:v>
                </c:pt>
                <c:pt idx="21">
                  <c:v>2026-08-14</c:v>
                </c:pt>
                <c:pt idx="22">
                  <c:v>2026-08-21</c:v>
                </c:pt>
                <c:pt idx="23">
                  <c:v>2026-08-28</c:v>
                </c:pt>
                <c:pt idx="24">
                  <c:v>2026-09-04</c:v>
                </c:pt>
                <c:pt idx="25">
                  <c:v>2026-09-11</c:v>
                </c:pt>
              </c:strCache>
            </c:strRef>
          </c:cat>
          <c:val>
            <c:numRef>
              <c:f>MACD_EMA!$G$87:$G$112</c:f>
              <c:numCache>
                <c:formatCode>0.0000</c:formatCode>
                <c:ptCount val="26"/>
                <c:pt idx="0">
                  <c:v>5.16724403229821</c:v>
                </c:pt>
                <c:pt idx="1">
                  <c:v>5.14759110162835</c:v>
                </c:pt>
                <c:pt idx="2">
                  <c:v>5.18015797236193</c:v>
                </c:pt>
                <c:pt idx="3">
                  <c:v>5.25635162232448</c:v>
                </c:pt>
                <c:pt idx="4">
                  <c:v>5.34168158845</c:v>
                </c:pt>
                <c:pt idx="5">
                  <c:v>5.25367415545411</c:v>
                </c:pt>
                <c:pt idx="6">
                  <c:v>4.96159313167774</c:v>
                </c:pt>
                <c:pt idx="7">
                  <c:v>4.44509280978295</c:v>
                </c:pt>
                <c:pt idx="8">
                  <c:v>3.67197506933827</c:v>
                </c:pt>
                <c:pt idx="9">
                  <c:v>2.85473184253385</c:v>
                </c:pt>
                <c:pt idx="10">
                  <c:v>2.1706107892338</c:v>
                </c:pt>
                <c:pt idx="11">
                  <c:v>1.71045046790041</c:v>
                </c:pt>
                <c:pt idx="12">
                  <c:v>1.305748695202</c:v>
                </c:pt>
                <c:pt idx="13">
                  <c:v>0.837898188489872</c:v>
                </c:pt>
                <c:pt idx="14">
                  <c:v>0.4114761982726</c:v>
                </c:pt>
                <c:pt idx="15">
                  <c:v>0.0696104966315353</c:v>
                </c:pt>
                <c:pt idx="16">
                  <c:v>-0.23834915372846</c:v>
                </c:pt>
                <c:pt idx="17">
                  <c:v>-0.596438524397737</c:v>
                </c:pt>
                <c:pt idx="18">
                  <c:v>-1.05978870198499</c:v>
                </c:pt>
                <c:pt idx="19">
                  <c:v>-1.56033518524963</c:v>
                </c:pt>
                <c:pt idx="20">
                  <c:v>-2.13050236312611</c:v>
                </c:pt>
                <c:pt idx="21">
                  <c:v>-2.68578941237346</c:v>
                </c:pt>
                <c:pt idx="22">
                  <c:v>-3.30357349428617</c:v>
                </c:pt>
                <c:pt idx="23">
                  <c:v>-3.93991957415831</c:v>
                </c:pt>
                <c:pt idx="24">
                  <c:v>-4.31374410423585</c:v>
                </c:pt>
                <c:pt idx="25">
                  <c:v>-4.42020650442272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170747"/>
        <c:axId val="27626964"/>
      </c:lineChart>
      <c:catAx>
        <c:axId val="93170747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26964"/>
        <c:crosses val="autoZero"/>
        <c:auto val="1"/>
        <c:lblAlgn val="ctr"/>
        <c:lblOffset val="100"/>
        <c:noMultiLvlLbl val="0"/>
      </c:catAx>
      <c:valAx>
        <c:axId val="27626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MACD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70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12</xdr:col>
      <xdr:colOff>581400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12</xdr:col>
      <xdr:colOff>581400</xdr:colOff>
      <xdr:row>38</xdr:row>
      <xdr:rowOff>162000</xdr:rowOff>
    </xdr:to>
    <xdr:graphicFrame>
      <xdr:nvGraphicFramePr>
        <xdr:cNvPr id="1" name="Chart 2"/>
        <xdr:cNvGraphicFramePr/>
      </xdr:nvGraphicFramePr>
      <xdr:xfrm>
        <a:off x="0" y="41911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4" customFormat="false" ht="42" hidden="false" customHeight="true" outlineLevel="0" collapsed="false">
      <c r="B4" s="2" t="s">
        <v>1</v>
      </c>
      <c r="C4" s="3" t="s">
        <v>2</v>
      </c>
    </row>
    <row r="5" customFormat="false" ht="42" hidden="false" customHeight="true" outlineLevel="0" collapsed="false">
      <c r="B5" s="4" t="s">
        <v>3</v>
      </c>
      <c r="C5" s="4" t="s">
        <v>4</v>
      </c>
    </row>
    <row r="6" customFormat="false" ht="42" hidden="false" customHeight="true" outlineLevel="0" collapsed="false">
      <c r="B6" s="2" t="s">
        <v>5</v>
      </c>
      <c r="C6" s="3" t="s">
        <v>6</v>
      </c>
    </row>
    <row r="7" customFormat="false" ht="42" hidden="false" customHeight="true" outlineLevel="0" collapsed="false">
      <c r="B7" s="2" t="s">
        <v>7</v>
      </c>
      <c r="C7" s="3" t="s">
        <v>8</v>
      </c>
    </row>
    <row r="8" customFormat="false" ht="42" hidden="false" customHeight="true" outlineLevel="0" collapsed="false">
      <c r="B8" s="2" t="s">
        <v>9</v>
      </c>
      <c r="C8" s="3" t="s">
        <v>10</v>
      </c>
    </row>
    <row r="9" customFormat="false" ht="42" hidden="false" customHeight="true" outlineLevel="0" collapsed="false">
      <c r="B9" s="2" t="s">
        <v>11</v>
      </c>
      <c r="C9" s="3" t="s">
        <v>12</v>
      </c>
    </row>
    <row r="10" customFormat="false" ht="42" hidden="false" customHeight="true" outlineLevel="0" collapsed="false">
      <c r="B10" s="2" t="s">
        <v>13</v>
      </c>
      <c r="C10" s="3" t="s">
        <v>14</v>
      </c>
    </row>
    <row r="11" customFormat="false" ht="42" hidden="false" customHeight="true" outlineLevel="0" collapsed="false">
      <c r="B11" s="2" t="s">
        <v>15</v>
      </c>
      <c r="C11" s="3" t="s">
        <v>16</v>
      </c>
    </row>
    <row r="12" customFormat="false" ht="42" hidden="false" customHeight="true" outlineLevel="0" collapsed="false">
      <c r="B12" s="2" t="s">
        <v>17</v>
      </c>
      <c r="C12" s="3" t="s">
        <v>18</v>
      </c>
    </row>
    <row r="13" customFormat="false" ht="42" hidden="false" customHeight="true" outlineLevel="0" collapsed="false">
      <c r="B13" s="2" t="s">
        <v>19</v>
      </c>
      <c r="C13" s="3" t="s">
        <v>20</v>
      </c>
    </row>
    <row r="14" customFormat="false" ht="42" hidden="false" customHeight="true" outlineLevel="0" collapsed="false">
      <c r="B14" s="2" t="s">
        <v>21</v>
      </c>
      <c r="C14" s="3" t="s">
        <v>22</v>
      </c>
    </row>
    <row r="15" customFormat="false" ht="42" hidden="false" customHeight="true" outlineLevel="0" collapsed="false">
      <c r="B15" s="2" t="s">
        <v>23</v>
      </c>
      <c r="C15" s="3" t="s">
        <v>24</v>
      </c>
    </row>
    <row r="16" customFormat="false" ht="42" hidden="false" customHeight="true" outlineLevel="0" collapsed="false">
      <c r="B16" s="2" t="s">
        <v>25</v>
      </c>
      <c r="C16" s="3" t="s">
        <v>26</v>
      </c>
    </row>
    <row r="17" customFormat="false" ht="42" hidden="false" customHeight="true" outlineLevel="0" collapsed="false">
      <c r="B17" s="2" t="s">
        <v>27</v>
      </c>
      <c r="C17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4" style="0" width="20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5" t="s">
        <v>29</v>
      </c>
      <c r="B1" s="5" t="s">
        <v>30</v>
      </c>
      <c r="D1" s="6" t="s">
        <v>31</v>
      </c>
    </row>
    <row r="2" customFormat="false" ht="15" hidden="false" customHeight="false" outlineLevel="0" collapsed="false">
      <c r="A2" s="7" t="n">
        <v>45555</v>
      </c>
      <c r="B2" s="8" t="n">
        <v>167.72</v>
      </c>
      <c r="D2" s="9" t="s">
        <v>32</v>
      </c>
      <c r="E2" s="10" t="s">
        <v>33</v>
      </c>
    </row>
    <row r="3" customFormat="false" ht="15" hidden="false" customHeight="false" outlineLevel="0" collapsed="false">
      <c r="A3" s="7" t="n">
        <v>45562</v>
      </c>
      <c r="B3" s="8" t="n">
        <v>172.28</v>
      </c>
      <c r="D3" s="9" t="s">
        <v>34</v>
      </c>
      <c r="E3" s="10" t="s">
        <v>35</v>
      </c>
    </row>
    <row r="4" customFormat="false" ht="15" hidden="false" customHeight="false" outlineLevel="0" collapsed="false">
      <c r="A4" s="7" t="n">
        <v>45569</v>
      </c>
      <c r="B4" s="8" t="n">
        <v>167.83</v>
      </c>
    </row>
    <row r="5" customFormat="false" ht="15" hidden="false" customHeight="false" outlineLevel="0" collapsed="false">
      <c r="A5" s="7" t="n">
        <v>45576</v>
      </c>
      <c r="B5" s="8" t="n">
        <v>165.21</v>
      </c>
    </row>
    <row r="6" customFormat="false" ht="15" hidden="false" customHeight="false" outlineLevel="0" collapsed="false">
      <c r="A6" s="7" t="n">
        <v>45583</v>
      </c>
      <c r="B6" s="8" t="n">
        <v>162.76</v>
      </c>
    </row>
    <row r="7" customFormat="false" ht="15" hidden="false" customHeight="false" outlineLevel="0" collapsed="false">
      <c r="A7" s="7" t="n">
        <v>45590</v>
      </c>
      <c r="B7" s="8" t="n">
        <v>165.13</v>
      </c>
    </row>
    <row r="8" customFormat="false" ht="15" hidden="false" customHeight="false" outlineLevel="0" collapsed="false">
      <c r="A8" s="7" t="n">
        <v>45597</v>
      </c>
      <c r="B8" s="8" t="n">
        <v>165.35</v>
      </c>
    </row>
    <row r="9" customFormat="false" ht="15" hidden="false" customHeight="false" outlineLevel="0" collapsed="false">
      <c r="A9" s="7" t="n">
        <v>45604</v>
      </c>
      <c r="B9" s="8" t="n">
        <v>161.85</v>
      </c>
    </row>
    <row r="10" customFormat="false" ht="15" hidden="false" customHeight="false" outlineLevel="0" collapsed="false">
      <c r="A10" s="7" t="n">
        <v>45611</v>
      </c>
      <c r="B10" s="8" t="n">
        <v>165.48</v>
      </c>
    </row>
    <row r="11" customFormat="false" ht="15" hidden="false" customHeight="false" outlineLevel="0" collapsed="false">
      <c r="A11" s="7" t="n">
        <v>45618</v>
      </c>
      <c r="B11" s="8" t="n">
        <v>162.15</v>
      </c>
    </row>
    <row r="12" customFormat="false" ht="15" hidden="false" customHeight="false" outlineLevel="0" collapsed="false">
      <c r="A12" s="7" t="n">
        <v>45625</v>
      </c>
      <c r="B12" s="8" t="n">
        <v>166.72</v>
      </c>
    </row>
    <row r="13" customFormat="false" ht="15" hidden="false" customHeight="false" outlineLevel="0" collapsed="false">
      <c r="A13" s="7" t="n">
        <v>45632</v>
      </c>
      <c r="B13" s="8" t="n">
        <v>162.27</v>
      </c>
    </row>
    <row r="14" customFormat="false" ht="15" hidden="false" customHeight="false" outlineLevel="0" collapsed="false">
      <c r="A14" s="7" t="n">
        <v>45639</v>
      </c>
      <c r="B14" s="8" t="n">
        <v>158.8</v>
      </c>
    </row>
    <row r="15" customFormat="false" ht="15" hidden="false" customHeight="false" outlineLevel="0" collapsed="false">
      <c r="A15" s="7" t="n">
        <v>45646</v>
      </c>
      <c r="B15" s="8" t="n">
        <v>164.42</v>
      </c>
    </row>
    <row r="16" customFormat="false" ht="15" hidden="false" customHeight="false" outlineLevel="0" collapsed="false">
      <c r="A16" s="7" t="n">
        <v>45653</v>
      </c>
      <c r="B16" s="8" t="n">
        <v>155.24</v>
      </c>
    </row>
    <row r="17" customFormat="false" ht="15" hidden="false" customHeight="false" outlineLevel="0" collapsed="false">
      <c r="A17" s="7" t="n">
        <v>45660</v>
      </c>
      <c r="B17" s="8" t="n">
        <v>150.86</v>
      </c>
    </row>
    <row r="18" customFormat="false" ht="15" hidden="false" customHeight="false" outlineLevel="0" collapsed="false">
      <c r="A18" s="7" t="n">
        <v>45667</v>
      </c>
      <c r="B18" s="8" t="n">
        <v>151.3</v>
      </c>
    </row>
    <row r="19" customFormat="false" ht="15" hidden="false" customHeight="false" outlineLevel="0" collapsed="false">
      <c r="A19" s="7" t="n">
        <v>45674</v>
      </c>
      <c r="B19" s="8" t="n">
        <v>156.79</v>
      </c>
    </row>
    <row r="20" customFormat="false" ht="15" hidden="false" customHeight="false" outlineLevel="0" collapsed="false">
      <c r="A20" s="7" t="n">
        <v>45681</v>
      </c>
      <c r="B20" s="8" t="n">
        <v>157.19</v>
      </c>
    </row>
    <row r="21" customFormat="false" ht="15" hidden="false" customHeight="false" outlineLevel="0" collapsed="false">
      <c r="A21" s="7" t="n">
        <v>45688</v>
      </c>
      <c r="B21" s="8" t="n">
        <v>159.63</v>
      </c>
    </row>
    <row r="22" customFormat="false" ht="15" hidden="false" customHeight="false" outlineLevel="0" collapsed="false">
      <c r="A22" s="7" t="n">
        <v>45695</v>
      </c>
      <c r="B22" s="8" t="n">
        <v>161.06</v>
      </c>
    </row>
    <row r="23" customFormat="false" ht="15" hidden="false" customHeight="false" outlineLevel="0" collapsed="false">
      <c r="A23" s="7" t="n">
        <v>45702</v>
      </c>
      <c r="B23" s="8" t="n">
        <v>156.64</v>
      </c>
    </row>
    <row r="24" customFormat="false" ht="15" hidden="false" customHeight="false" outlineLevel="0" collapsed="false">
      <c r="A24" s="7" t="n">
        <v>45709</v>
      </c>
      <c r="B24" s="8" t="n">
        <v>160.67</v>
      </c>
    </row>
    <row r="25" customFormat="false" ht="15" hidden="false" customHeight="false" outlineLevel="0" collapsed="false">
      <c r="A25" s="7" t="n">
        <v>45716</v>
      </c>
      <c r="B25" s="8" t="n">
        <v>162.66</v>
      </c>
    </row>
    <row r="26" customFormat="false" ht="15" hidden="false" customHeight="false" outlineLevel="0" collapsed="false">
      <c r="A26" s="7" t="n">
        <v>45723</v>
      </c>
      <c r="B26" s="8" t="n">
        <v>165.91</v>
      </c>
    </row>
    <row r="27" customFormat="false" ht="15" hidden="false" customHeight="false" outlineLevel="0" collapsed="false">
      <c r="A27" s="7" t="n">
        <v>45730</v>
      </c>
      <c r="B27" s="8" t="n">
        <v>171.62</v>
      </c>
    </row>
    <row r="28" customFormat="false" ht="15" hidden="false" customHeight="false" outlineLevel="0" collapsed="false">
      <c r="A28" s="7" t="n">
        <v>45737</v>
      </c>
      <c r="B28" s="8" t="n">
        <v>178.11</v>
      </c>
    </row>
    <row r="29" customFormat="false" ht="15" hidden="false" customHeight="false" outlineLevel="0" collapsed="false">
      <c r="A29" s="7" t="n">
        <v>45744</v>
      </c>
      <c r="B29" s="8" t="n">
        <v>177.68</v>
      </c>
    </row>
    <row r="30" customFormat="false" ht="15" hidden="false" customHeight="false" outlineLevel="0" collapsed="false">
      <c r="A30" s="7" t="n">
        <v>45751</v>
      </c>
      <c r="B30" s="8" t="n">
        <v>174.15</v>
      </c>
    </row>
    <row r="31" customFormat="false" ht="15" hidden="false" customHeight="false" outlineLevel="0" collapsed="false">
      <c r="A31" s="7" t="n">
        <v>45758</v>
      </c>
      <c r="B31" s="8" t="n">
        <v>187.27</v>
      </c>
    </row>
    <row r="32" customFormat="false" ht="15" hidden="false" customHeight="false" outlineLevel="0" collapsed="false">
      <c r="A32" s="7" t="n">
        <v>45765</v>
      </c>
      <c r="B32" s="8" t="n">
        <v>186.52</v>
      </c>
    </row>
    <row r="33" customFormat="false" ht="15" hidden="false" customHeight="false" outlineLevel="0" collapsed="false">
      <c r="A33" s="7" t="n">
        <v>45772</v>
      </c>
      <c r="B33" s="8" t="n">
        <v>194.98</v>
      </c>
    </row>
    <row r="34" customFormat="false" ht="15" hidden="false" customHeight="false" outlineLevel="0" collapsed="false">
      <c r="A34" s="7" t="n">
        <v>45779</v>
      </c>
      <c r="B34" s="8" t="n">
        <v>193.98</v>
      </c>
    </row>
    <row r="35" customFormat="false" ht="15" hidden="false" customHeight="false" outlineLevel="0" collapsed="false">
      <c r="A35" s="7" t="n">
        <v>45786</v>
      </c>
      <c r="B35" s="8" t="n">
        <v>195.92</v>
      </c>
    </row>
    <row r="36" customFormat="false" ht="15" hidden="false" customHeight="false" outlineLevel="0" collapsed="false">
      <c r="A36" s="7" t="n">
        <v>45793</v>
      </c>
      <c r="B36" s="8" t="n">
        <v>198.99</v>
      </c>
    </row>
    <row r="37" customFormat="false" ht="15" hidden="false" customHeight="false" outlineLevel="0" collapsed="false">
      <c r="A37" s="7" t="n">
        <v>45800</v>
      </c>
      <c r="B37" s="8" t="n">
        <v>200.94</v>
      </c>
    </row>
    <row r="38" customFormat="false" ht="15" hidden="false" customHeight="false" outlineLevel="0" collapsed="false">
      <c r="A38" s="7" t="n">
        <v>45807</v>
      </c>
      <c r="B38" s="8" t="n">
        <v>208.2</v>
      </c>
    </row>
    <row r="39" customFormat="false" ht="15" hidden="false" customHeight="false" outlineLevel="0" collapsed="false">
      <c r="A39" s="7" t="n">
        <v>45814</v>
      </c>
      <c r="B39" s="8" t="n">
        <v>202.26</v>
      </c>
    </row>
    <row r="40" customFormat="false" ht="15" hidden="false" customHeight="false" outlineLevel="0" collapsed="false">
      <c r="A40" s="7" t="n">
        <v>45821</v>
      </c>
      <c r="B40" s="8" t="n">
        <v>206.99</v>
      </c>
    </row>
    <row r="41" customFormat="false" ht="15" hidden="false" customHeight="false" outlineLevel="0" collapsed="false">
      <c r="A41" s="7" t="n">
        <v>45828</v>
      </c>
      <c r="B41" s="8" t="n">
        <v>208.88</v>
      </c>
    </row>
    <row r="42" customFormat="false" ht="15" hidden="false" customHeight="false" outlineLevel="0" collapsed="false">
      <c r="A42" s="7" t="n">
        <v>45835</v>
      </c>
      <c r="B42" s="8" t="n">
        <v>210.21</v>
      </c>
    </row>
    <row r="43" customFormat="false" ht="15" hidden="false" customHeight="false" outlineLevel="0" collapsed="false">
      <c r="A43" s="7" t="n">
        <v>45842</v>
      </c>
      <c r="B43" s="8" t="n">
        <v>215.78</v>
      </c>
    </row>
    <row r="44" customFormat="false" ht="15" hidden="false" customHeight="false" outlineLevel="0" collapsed="false">
      <c r="A44" s="7" t="n">
        <v>45849</v>
      </c>
      <c r="B44" s="8" t="n">
        <v>215.34</v>
      </c>
    </row>
    <row r="45" customFormat="false" ht="15" hidden="false" customHeight="false" outlineLevel="0" collapsed="false">
      <c r="A45" s="7" t="n">
        <v>45856</v>
      </c>
      <c r="B45" s="8" t="n">
        <v>208.66</v>
      </c>
    </row>
    <row r="46" customFormat="false" ht="15" hidden="false" customHeight="false" outlineLevel="0" collapsed="false">
      <c r="A46" s="7" t="n">
        <v>45863</v>
      </c>
      <c r="B46" s="8" t="n">
        <v>206.67</v>
      </c>
    </row>
    <row r="47" customFormat="false" ht="15" hidden="false" customHeight="false" outlineLevel="0" collapsed="false">
      <c r="A47" s="7" t="n">
        <v>45870</v>
      </c>
      <c r="B47" s="8" t="n">
        <v>208.54</v>
      </c>
    </row>
    <row r="48" customFormat="false" ht="15" hidden="false" customHeight="false" outlineLevel="0" collapsed="false">
      <c r="A48" s="7" t="n">
        <v>45877</v>
      </c>
      <c r="B48" s="8" t="n">
        <v>212</v>
      </c>
    </row>
    <row r="49" customFormat="false" ht="15" hidden="false" customHeight="false" outlineLevel="0" collapsed="false">
      <c r="A49" s="7" t="n">
        <v>45884</v>
      </c>
      <c r="B49" s="8" t="n">
        <v>211.98</v>
      </c>
    </row>
    <row r="50" customFormat="false" ht="15" hidden="false" customHeight="false" outlineLevel="0" collapsed="false">
      <c r="A50" s="7" t="n">
        <v>45891</v>
      </c>
      <c r="B50" s="8" t="n">
        <v>222</v>
      </c>
    </row>
    <row r="51" customFormat="false" ht="15" hidden="false" customHeight="false" outlineLevel="0" collapsed="false">
      <c r="A51" s="7" t="n">
        <v>45898</v>
      </c>
      <c r="B51" s="8" t="n">
        <v>227.24</v>
      </c>
    </row>
    <row r="52" customFormat="false" ht="15" hidden="false" customHeight="false" outlineLevel="0" collapsed="false">
      <c r="A52" s="7" t="n">
        <v>45905</v>
      </c>
      <c r="B52" s="8" t="n">
        <v>220.26</v>
      </c>
    </row>
    <row r="53" customFormat="false" ht="15" hidden="false" customHeight="false" outlineLevel="0" collapsed="false">
      <c r="A53" s="7" t="n">
        <v>45912</v>
      </c>
      <c r="B53" s="8" t="n">
        <v>218.31</v>
      </c>
    </row>
    <row r="54" customFormat="false" ht="15" hidden="false" customHeight="false" outlineLevel="0" collapsed="false">
      <c r="A54" s="7" t="n">
        <v>45919</v>
      </c>
      <c r="B54" s="8" t="n">
        <v>228.09</v>
      </c>
    </row>
    <row r="55" customFormat="false" ht="15" hidden="false" customHeight="false" outlineLevel="0" collapsed="false">
      <c r="A55" s="7" t="n">
        <v>45926</v>
      </c>
      <c r="B55" s="8" t="n">
        <v>226.09</v>
      </c>
    </row>
    <row r="56" customFormat="false" ht="15" hidden="false" customHeight="false" outlineLevel="0" collapsed="false">
      <c r="A56" s="7" t="n">
        <v>45933</v>
      </c>
      <c r="B56" s="8" t="n">
        <v>220.08</v>
      </c>
    </row>
    <row r="57" customFormat="false" ht="15" hidden="false" customHeight="false" outlineLevel="0" collapsed="false">
      <c r="A57" s="7" t="n">
        <v>45940</v>
      </c>
      <c r="B57" s="8" t="n">
        <v>232.23</v>
      </c>
    </row>
    <row r="58" customFormat="false" ht="15" hidden="false" customHeight="false" outlineLevel="0" collapsed="false">
      <c r="A58" s="7" t="n">
        <v>45947</v>
      </c>
      <c r="B58" s="8" t="n">
        <v>229.88</v>
      </c>
    </row>
    <row r="59" customFormat="false" ht="15" hidden="false" customHeight="false" outlineLevel="0" collapsed="false">
      <c r="A59" s="7" t="n">
        <v>45954</v>
      </c>
      <c r="B59" s="8" t="n">
        <v>229.64</v>
      </c>
    </row>
    <row r="60" customFormat="false" ht="15" hidden="false" customHeight="false" outlineLevel="0" collapsed="false">
      <c r="A60" s="7" t="n">
        <v>45961</v>
      </c>
      <c r="B60" s="8" t="n">
        <v>234.24</v>
      </c>
    </row>
    <row r="61" customFormat="false" ht="15" hidden="false" customHeight="false" outlineLevel="0" collapsed="false">
      <c r="A61" s="7" t="n">
        <v>45968</v>
      </c>
      <c r="B61" s="8" t="n">
        <v>228.93</v>
      </c>
    </row>
    <row r="62" customFormat="false" ht="15" hidden="false" customHeight="false" outlineLevel="0" collapsed="false">
      <c r="A62" s="7" t="n">
        <v>45975</v>
      </c>
      <c r="B62" s="8" t="n">
        <v>231.98</v>
      </c>
    </row>
    <row r="63" customFormat="false" ht="15" hidden="false" customHeight="false" outlineLevel="0" collapsed="false">
      <c r="A63" s="7" t="n">
        <v>45982</v>
      </c>
      <c r="B63" s="8" t="n">
        <v>219.67</v>
      </c>
    </row>
    <row r="64" customFormat="false" ht="15" hidden="false" customHeight="false" outlineLevel="0" collapsed="false">
      <c r="A64" s="7" t="n">
        <v>45989</v>
      </c>
      <c r="B64" s="8" t="n">
        <v>227.29</v>
      </c>
    </row>
    <row r="65" customFormat="false" ht="15" hidden="false" customHeight="false" outlineLevel="0" collapsed="false">
      <c r="A65" s="7" t="n">
        <v>45996</v>
      </c>
      <c r="B65" s="8" t="n">
        <v>229.88</v>
      </c>
    </row>
    <row r="66" customFormat="false" ht="15" hidden="false" customHeight="false" outlineLevel="0" collapsed="false">
      <c r="A66" s="7" t="n">
        <v>46003</v>
      </c>
      <c r="B66" s="8" t="n">
        <v>238.14</v>
      </c>
    </row>
    <row r="67" customFormat="false" ht="15" hidden="false" customHeight="false" outlineLevel="0" collapsed="false">
      <c r="A67" s="7" t="n">
        <v>46010</v>
      </c>
      <c r="B67" s="8" t="n">
        <v>235.55</v>
      </c>
    </row>
    <row r="68" customFormat="false" ht="15" hidden="false" customHeight="false" outlineLevel="0" collapsed="false">
      <c r="A68" s="7" t="n">
        <v>46017</v>
      </c>
      <c r="B68" s="8" t="n">
        <v>226.74</v>
      </c>
    </row>
    <row r="69" customFormat="false" ht="15" hidden="false" customHeight="false" outlineLevel="0" collapsed="false">
      <c r="A69" s="7" t="n">
        <v>46024</v>
      </c>
      <c r="B69" s="8" t="n">
        <v>224.69</v>
      </c>
    </row>
    <row r="70" customFormat="false" ht="15" hidden="false" customHeight="false" outlineLevel="0" collapsed="false">
      <c r="A70" s="7" t="n">
        <v>46031</v>
      </c>
      <c r="B70" s="8" t="n">
        <v>219.58</v>
      </c>
    </row>
    <row r="71" customFormat="false" ht="15" hidden="false" customHeight="false" outlineLevel="0" collapsed="false">
      <c r="A71" s="7" t="n">
        <v>46038</v>
      </c>
      <c r="B71" s="8" t="n">
        <v>218.42</v>
      </c>
    </row>
    <row r="72" customFormat="false" ht="15" hidden="false" customHeight="false" outlineLevel="0" collapsed="false">
      <c r="A72" s="7" t="n">
        <v>46045</v>
      </c>
      <c r="B72" s="8" t="n">
        <v>230.39</v>
      </c>
    </row>
    <row r="73" customFormat="false" ht="15" hidden="false" customHeight="false" outlineLevel="0" collapsed="false">
      <c r="A73" s="7" t="n">
        <v>46052</v>
      </c>
      <c r="B73" s="8" t="n">
        <v>226.42</v>
      </c>
    </row>
    <row r="74" customFormat="false" ht="15" hidden="false" customHeight="false" outlineLevel="0" collapsed="false">
      <c r="A74" s="7" t="n">
        <v>46059</v>
      </c>
      <c r="B74" s="8" t="n">
        <v>226.19</v>
      </c>
    </row>
    <row r="75" customFormat="false" ht="15" hidden="false" customHeight="false" outlineLevel="0" collapsed="false">
      <c r="A75" s="7" t="n">
        <v>46066</v>
      </c>
      <c r="B75" s="8" t="n">
        <v>221.38</v>
      </c>
    </row>
    <row r="76" customFormat="false" ht="15" hidden="false" customHeight="false" outlineLevel="0" collapsed="false">
      <c r="A76" s="7" t="n">
        <v>46073</v>
      </c>
      <c r="B76" s="8" t="n">
        <v>238.67</v>
      </c>
    </row>
    <row r="77" customFormat="false" ht="15" hidden="false" customHeight="false" outlineLevel="0" collapsed="false">
      <c r="A77" s="7" t="n">
        <v>46080</v>
      </c>
      <c r="B77" s="8" t="n">
        <v>244.47</v>
      </c>
    </row>
    <row r="78" customFormat="false" ht="15" hidden="false" customHeight="false" outlineLevel="0" collapsed="false">
      <c r="A78" s="7" t="n">
        <v>46087</v>
      </c>
      <c r="B78" s="8" t="n">
        <v>241.48</v>
      </c>
    </row>
    <row r="79" customFormat="false" ht="15" hidden="false" customHeight="false" outlineLevel="0" collapsed="false">
      <c r="A79" s="7" t="n">
        <v>46094</v>
      </c>
      <c r="B79" s="8" t="n">
        <v>238.58</v>
      </c>
    </row>
    <row r="80" customFormat="false" ht="15" hidden="false" customHeight="false" outlineLevel="0" collapsed="false">
      <c r="A80" s="7" t="n">
        <v>46101</v>
      </c>
      <c r="B80" s="8" t="n">
        <v>238.2</v>
      </c>
    </row>
    <row r="81" customFormat="false" ht="15" hidden="false" customHeight="false" outlineLevel="0" collapsed="false">
      <c r="A81" s="7" t="n">
        <v>46108</v>
      </c>
      <c r="B81" s="8" t="n">
        <v>232.42</v>
      </c>
    </row>
    <row r="82" customFormat="false" ht="15" hidden="false" customHeight="false" outlineLevel="0" collapsed="false">
      <c r="A82" s="7" t="n">
        <v>46115</v>
      </c>
      <c r="B82" s="8" t="n">
        <v>241.28</v>
      </c>
    </row>
    <row r="83" customFormat="false" ht="15" hidden="false" customHeight="false" outlineLevel="0" collapsed="false">
      <c r="A83" s="7" t="n">
        <v>46122</v>
      </c>
      <c r="B83" s="8" t="n">
        <v>242.81</v>
      </c>
    </row>
    <row r="84" customFormat="false" ht="15" hidden="false" customHeight="false" outlineLevel="0" collapsed="false">
      <c r="A84" s="7" t="n">
        <v>46129</v>
      </c>
      <c r="B84" s="8" t="n">
        <v>242.67</v>
      </c>
    </row>
    <row r="85" customFormat="false" ht="15" hidden="false" customHeight="false" outlineLevel="0" collapsed="false">
      <c r="A85" s="7" t="n">
        <v>46136</v>
      </c>
      <c r="B85" s="8" t="n">
        <v>232.49</v>
      </c>
    </row>
    <row r="86" customFormat="false" ht="15" hidden="false" customHeight="false" outlineLevel="0" collapsed="false">
      <c r="A86" s="7" t="n">
        <v>46143</v>
      </c>
      <c r="B86" s="8" t="n">
        <v>226.97</v>
      </c>
    </row>
    <row r="87" customFormat="false" ht="15" hidden="false" customHeight="false" outlineLevel="0" collapsed="false">
      <c r="A87" s="7" t="n">
        <v>46150</v>
      </c>
      <c r="B87" s="8" t="n">
        <v>220.67</v>
      </c>
    </row>
    <row r="88" customFormat="false" ht="15" hidden="false" customHeight="false" outlineLevel="0" collapsed="false">
      <c r="A88" s="7" t="n">
        <v>46157</v>
      </c>
      <c r="B88" s="8" t="n">
        <v>212.34</v>
      </c>
    </row>
    <row r="89" customFormat="false" ht="15" hidden="false" customHeight="false" outlineLevel="0" collapsed="false">
      <c r="A89" s="7" t="n">
        <v>46164</v>
      </c>
      <c r="B89" s="8" t="n">
        <v>217.64</v>
      </c>
    </row>
    <row r="90" customFormat="false" ht="15" hidden="false" customHeight="false" outlineLevel="0" collapsed="false">
      <c r="A90" s="7" t="n">
        <v>46171</v>
      </c>
      <c r="B90" s="8" t="n">
        <v>225.44</v>
      </c>
    </row>
    <row r="91" customFormat="false" ht="15" hidden="false" customHeight="false" outlineLevel="0" collapsed="false">
      <c r="A91" s="7" t="n">
        <v>46178</v>
      </c>
      <c r="B91" s="8" t="n">
        <v>232.31</v>
      </c>
    </row>
    <row r="92" customFormat="false" ht="15" hidden="false" customHeight="false" outlineLevel="0" collapsed="false">
      <c r="A92" s="7" t="n">
        <v>46185</v>
      </c>
      <c r="B92" s="8" t="n">
        <v>225.72</v>
      </c>
    </row>
    <row r="93" customFormat="false" ht="15" hidden="false" customHeight="false" outlineLevel="0" collapsed="false">
      <c r="A93" s="7" t="n">
        <v>46192</v>
      </c>
      <c r="B93" s="8" t="n">
        <v>218.44</v>
      </c>
    </row>
    <row r="94" customFormat="false" ht="15" hidden="false" customHeight="false" outlineLevel="0" collapsed="false">
      <c r="A94" s="7" t="n">
        <v>46199</v>
      </c>
      <c r="B94" s="8" t="n">
        <v>222.1</v>
      </c>
    </row>
    <row r="95" customFormat="false" ht="15" hidden="false" customHeight="false" outlineLevel="0" collapsed="false">
      <c r="A95" s="7" t="n">
        <v>46206</v>
      </c>
      <c r="B95" s="8" t="n">
        <v>224.43</v>
      </c>
    </row>
    <row r="96" customFormat="false" ht="15" hidden="false" customHeight="false" outlineLevel="0" collapsed="false">
      <c r="A96" s="7" t="n">
        <v>46213</v>
      </c>
      <c r="B96" s="8" t="n">
        <v>222.12</v>
      </c>
    </row>
    <row r="97" customFormat="false" ht="15" hidden="false" customHeight="false" outlineLevel="0" collapsed="false">
      <c r="A97" s="7" t="n">
        <v>46220</v>
      </c>
      <c r="B97" s="8" t="n">
        <v>216.6</v>
      </c>
    </row>
    <row r="98" customFormat="false" ht="15" hidden="false" customHeight="false" outlineLevel="0" collapsed="false">
      <c r="A98" s="7" t="n">
        <v>46227</v>
      </c>
      <c r="B98" s="8" t="n">
        <v>210.71</v>
      </c>
    </row>
    <row r="99" customFormat="false" ht="15" hidden="false" customHeight="false" outlineLevel="0" collapsed="false">
      <c r="A99" s="7" t="n">
        <v>46234</v>
      </c>
      <c r="B99" s="8" t="n">
        <v>210.84</v>
      </c>
    </row>
    <row r="100" customFormat="false" ht="15" hidden="false" customHeight="false" outlineLevel="0" collapsed="false">
      <c r="A100" s="7" t="n">
        <v>46241</v>
      </c>
      <c r="B100" s="8" t="n">
        <v>206.07</v>
      </c>
    </row>
    <row r="101" customFormat="false" ht="15" hidden="false" customHeight="false" outlineLevel="0" collapsed="false">
      <c r="A101" s="7" t="n">
        <v>46248</v>
      </c>
      <c r="B101" s="8" t="n">
        <v>207.56</v>
      </c>
    </row>
    <row r="102" customFormat="false" ht="15" hidden="false" customHeight="false" outlineLevel="0" collapsed="false">
      <c r="A102" s="7" t="n">
        <v>46255</v>
      </c>
      <c r="B102" s="8" t="n">
        <v>200.85</v>
      </c>
    </row>
    <row r="103" customFormat="false" ht="15" hidden="false" customHeight="false" outlineLevel="0" collapsed="false">
      <c r="A103" s="7" t="n">
        <v>46262</v>
      </c>
      <c r="B103" s="8" t="n">
        <v>199.64</v>
      </c>
    </row>
    <row r="104" customFormat="false" ht="15" hidden="false" customHeight="false" outlineLevel="0" collapsed="false">
      <c r="A104" s="7" t="n">
        <v>46269</v>
      </c>
      <c r="B104" s="8" t="n">
        <v>214.17</v>
      </c>
    </row>
    <row r="105" customFormat="false" ht="15" hidden="false" customHeight="false" outlineLevel="0" collapsed="false">
      <c r="A105" s="7" t="n">
        <v>46276</v>
      </c>
      <c r="B105" s="8" t="n">
        <v>218.77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B2" s="9" t="s">
        <v>37</v>
      </c>
      <c r="C2" s="9" t="s">
        <v>38</v>
      </c>
      <c r="D2" s="9" t="s">
        <v>39</v>
      </c>
    </row>
    <row r="3" customFormat="false" ht="15" hidden="false" customHeight="false" outlineLevel="0" collapsed="false">
      <c r="B3" s="11" t="s">
        <v>40</v>
      </c>
      <c r="C3" s="10" t="n">
        <v>12</v>
      </c>
      <c r="D3" s="12" t="n">
        <f aca="false">2/(C3+1)</f>
        <v>0.153846153846154</v>
      </c>
      <c r="F3" s="11" t="s">
        <v>41</v>
      </c>
      <c r="G3" s="11" t="n">
        <f aca="false">N_len</f>
        <v>26</v>
      </c>
      <c r="I3" s="13" t="s">
        <v>42</v>
      </c>
    </row>
    <row r="4" customFormat="false" ht="15" hidden="false" customHeight="false" outlineLevel="0" collapsed="false">
      <c r="B4" s="11" t="s">
        <v>43</v>
      </c>
      <c r="C4" s="10" t="n">
        <v>26</v>
      </c>
      <c r="D4" s="12" t="n">
        <f aca="false">2/(C4+1)</f>
        <v>0.0740740740740741</v>
      </c>
      <c r="F4" s="11" t="s">
        <v>44</v>
      </c>
      <c r="G4" s="11" t="n">
        <f aca="false">N_len+N_sen-1</f>
        <v>34</v>
      </c>
    </row>
    <row r="5" customFormat="false" ht="15" hidden="false" customHeight="false" outlineLevel="0" collapsed="false">
      <c r="B5" s="11" t="s">
        <v>45</v>
      </c>
      <c r="C5" s="10" t="n">
        <v>9</v>
      </c>
      <c r="D5" s="12" t="n">
        <f aca="false">2/(C5+1)</f>
        <v>0.2</v>
      </c>
      <c r="F5" s="11" t="s">
        <v>46</v>
      </c>
      <c r="G5" s="11" t="n">
        <f aca="false">(N_rap-1)/2</f>
        <v>5.5</v>
      </c>
    </row>
    <row r="6" customFormat="false" ht="15" hidden="false" customHeight="false" outlineLevel="0" collapsed="false">
      <c r="F6" s="11" t="s">
        <v>47</v>
      </c>
      <c r="G6" s="11" t="n">
        <f aca="false">(N_len-1)/2</f>
        <v>12.5</v>
      </c>
    </row>
    <row r="8" customFormat="false" ht="30" hidden="false" customHeight="true" outlineLevel="0" collapsed="false">
      <c r="A8" s="5" t="s">
        <v>48</v>
      </c>
      <c r="B8" s="5" t="s">
        <v>29</v>
      </c>
      <c r="C8" s="5" t="s">
        <v>30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</row>
    <row r="9" customFormat="false" ht="15" hidden="false" customHeight="false" outlineLevel="0" collapsed="false">
      <c r="A9" s="11" t="n">
        <f aca="false">ROW()-8</f>
        <v>1</v>
      </c>
      <c r="B9" s="14" t="n">
        <f aca="false">Datos!A2</f>
        <v>45555</v>
      </c>
      <c r="C9" s="15" t="n">
        <f aca="false">Datos!B2</f>
        <v>167.72</v>
      </c>
      <c r="D9" s="16" t="str">
        <f aca="false">IF(A9&lt;N_rap,"",IF(A9=N_rap,AVERAGE($C$9:C9),a_rap*C9+(1-a_rap)*D8))</f>
        <v/>
      </c>
      <c r="E9" s="16" t="str">
        <f aca="false">IF(A9&lt;N_len,"",IF(A9=N_len,AVERAGE($C$9:C9),a_len*C9+(1-a_len)*E8))</f>
        <v/>
      </c>
      <c r="F9" s="16" t="str">
        <f aca="false">IF(E9="","",D9-E9)</f>
        <v/>
      </c>
      <c r="G9" s="16" t="str">
        <f aca="false">IF(A9&lt;N_len+N_sen-1,"",IF(A9=N_len+N_sen-1,AVERAGE($F$9:F9),a_sen*F9+(1-a_sen)*G8))</f>
        <v/>
      </c>
      <c r="H9" s="16" t="str">
        <f aca="false">IF(G9="","",F9-G9)</f>
        <v/>
      </c>
      <c r="I9" s="11" t="str">
        <f aca="false">IF(OR(H9="",H8=""),"",IF(AND(H8&lt;=0,H9&gt;0),"Cruce alcista",IF(AND(H8&gt;=0,H9&lt;0),"Cruce bajista","")))</f>
        <v/>
      </c>
      <c r="J9" s="11" t="str">
        <f aca="false">IF(F9="","",IF(F9&gt;0,"Arriba de 0","Debajo de 0"))</f>
        <v/>
      </c>
      <c r="K9" s="11" t="str">
        <f aca="false">IF(OR(F9="",F8=""),"",IF(ABS(F9)&lt;ABS(F8),"Convergen","Divergen"))</f>
        <v/>
      </c>
      <c r="L9" s="17" t="str">
        <f aca="false">IF(F9="","",F9/E9)</f>
        <v/>
      </c>
    </row>
    <row r="10" customFormat="false" ht="15" hidden="false" customHeight="false" outlineLevel="0" collapsed="false">
      <c r="A10" s="11" t="n">
        <f aca="false">ROW()-8</f>
        <v>2</v>
      </c>
      <c r="B10" s="14" t="n">
        <f aca="false">Datos!A3</f>
        <v>45562</v>
      </c>
      <c r="C10" s="15" t="n">
        <f aca="false">Datos!B3</f>
        <v>172.28</v>
      </c>
      <c r="D10" s="16" t="str">
        <f aca="false">IF(A10&lt;N_rap,"",IF(A10=N_rap,AVERAGE($C$9:C10),a_rap*C10+(1-a_rap)*D9))</f>
        <v/>
      </c>
      <c r="E10" s="16" t="str">
        <f aca="false">IF(A10&lt;N_len,"",IF(A10=N_len,AVERAGE($C$9:C10),a_len*C10+(1-a_len)*E9))</f>
        <v/>
      </c>
      <c r="F10" s="16" t="str">
        <f aca="false">IF(E10="","",D10-E10)</f>
        <v/>
      </c>
      <c r="G10" s="16" t="str">
        <f aca="false">IF(A10&lt;N_len+N_sen-1,"",IF(A10=N_len+N_sen-1,AVERAGE($F$9:F10),a_sen*F10+(1-a_sen)*G9))</f>
        <v/>
      </c>
      <c r="H10" s="16" t="str">
        <f aca="false">IF(G10="","",F10-G10)</f>
        <v/>
      </c>
      <c r="I10" s="11" t="str">
        <f aca="false">IF(OR(H10="",H9=""),"",IF(AND(H9&lt;=0,H10&gt;0),"Cruce alcista",IF(AND(H9&gt;=0,H10&lt;0),"Cruce bajista","")))</f>
        <v/>
      </c>
      <c r="J10" s="11" t="str">
        <f aca="false">IF(F10="","",IF(F10&gt;0,"Arriba de 0","Debajo de 0"))</f>
        <v/>
      </c>
      <c r="K10" s="11" t="str">
        <f aca="false">IF(OR(F10="",F9=""),"",IF(ABS(F10)&lt;ABS(F9),"Convergen","Divergen"))</f>
        <v/>
      </c>
      <c r="L10" s="17" t="str">
        <f aca="false">IF(F10="","",F10/E10)</f>
        <v/>
      </c>
    </row>
    <row r="11" customFormat="false" ht="15" hidden="false" customHeight="false" outlineLevel="0" collapsed="false">
      <c r="A11" s="11" t="n">
        <f aca="false">ROW()-8</f>
        <v>3</v>
      </c>
      <c r="B11" s="14" t="n">
        <f aca="false">Datos!A4</f>
        <v>45569</v>
      </c>
      <c r="C11" s="15" t="n">
        <f aca="false">Datos!B4</f>
        <v>167.83</v>
      </c>
      <c r="D11" s="16" t="str">
        <f aca="false">IF(A11&lt;N_rap,"",IF(A11=N_rap,AVERAGE($C$9:C11),a_rap*C11+(1-a_rap)*D10))</f>
        <v/>
      </c>
      <c r="E11" s="16" t="str">
        <f aca="false">IF(A11&lt;N_len,"",IF(A11=N_len,AVERAGE($C$9:C11),a_len*C11+(1-a_len)*E10))</f>
        <v/>
      </c>
      <c r="F11" s="16" t="str">
        <f aca="false">IF(E11="","",D11-E11)</f>
        <v/>
      </c>
      <c r="G11" s="16" t="str">
        <f aca="false">IF(A11&lt;N_len+N_sen-1,"",IF(A11=N_len+N_sen-1,AVERAGE($F$9:F11),a_sen*F11+(1-a_sen)*G10))</f>
        <v/>
      </c>
      <c r="H11" s="16" t="str">
        <f aca="false">IF(G11="","",F11-G11)</f>
        <v/>
      </c>
      <c r="I11" s="11" t="str">
        <f aca="false">IF(OR(H11="",H10=""),"",IF(AND(H10&lt;=0,H11&gt;0),"Cruce alcista",IF(AND(H10&gt;=0,H11&lt;0),"Cruce bajista","")))</f>
        <v/>
      </c>
      <c r="J11" s="11" t="str">
        <f aca="false">IF(F11="","",IF(F11&gt;0,"Arriba de 0","Debajo de 0"))</f>
        <v/>
      </c>
      <c r="K11" s="11" t="str">
        <f aca="false">IF(OR(F11="",F10=""),"",IF(ABS(F11)&lt;ABS(F10),"Convergen","Divergen"))</f>
        <v/>
      </c>
      <c r="L11" s="17" t="str">
        <f aca="false">IF(F11="","",F11/E11)</f>
        <v/>
      </c>
    </row>
    <row r="12" customFormat="false" ht="15" hidden="false" customHeight="false" outlineLevel="0" collapsed="false">
      <c r="A12" s="11" t="n">
        <f aca="false">ROW()-8</f>
        <v>4</v>
      </c>
      <c r="B12" s="14" t="n">
        <f aca="false">Datos!A5</f>
        <v>45576</v>
      </c>
      <c r="C12" s="15" t="n">
        <f aca="false">Datos!B5</f>
        <v>165.21</v>
      </c>
      <c r="D12" s="16" t="str">
        <f aca="false">IF(A12&lt;N_rap,"",IF(A12=N_rap,AVERAGE($C$9:C12),a_rap*C12+(1-a_rap)*D11))</f>
        <v/>
      </c>
      <c r="E12" s="16" t="str">
        <f aca="false">IF(A12&lt;N_len,"",IF(A12=N_len,AVERAGE($C$9:C12),a_len*C12+(1-a_len)*E11))</f>
        <v/>
      </c>
      <c r="F12" s="16" t="str">
        <f aca="false">IF(E12="","",D12-E12)</f>
        <v/>
      </c>
      <c r="G12" s="16" t="str">
        <f aca="false">IF(A12&lt;N_len+N_sen-1,"",IF(A12=N_len+N_sen-1,AVERAGE($F$9:F12),a_sen*F12+(1-a_sen)*G11))</f>
        <v/>
      </c>
      <c r="H12" s="16" t="str">
        <f aca="false">IF(G12="","",F12-G12)</f>
        <v/>
      </c>
      <c r="I12" s="11" t="str">
        <f aca="false">IF(OR(H12="",H11=""),"",IF(AND(H11&lt;=0,H12&gt;0),"Cruce alcista",IF(AND(H11&gt;=0,H12&lt;0),"Cruce bajista","")))</f>
        <v/>
      </c>
      <c r="J12" s="11" t="str">
        <f aca="false">IF(F12="","",IF(F12&gt;0,"Arriba de 0","Debajo de 0"))</f>
        <v/>
      </c>
      <c r="K12" s="11" t="str">
        <f aca="false">IF(OR(F12="",F11=""),"",IF(ABS(F12)&lt;ABS(F11),"Convergen","Divergen"))</f>
        <v/>
      </c>
      <c r="L12" s="17" t="str">
        <f aca="false">IF(F12="","",F12/E12)</f>
        <v/>
      </c>
    </row>
    <row r="13" customFormat="false" ht="15" hidden="false" customHeight="false" outlineLevel="0" collapsed="false">
      <c r="A13" s="11" t="n">
        <f aca="false">ROW()-8</f>
        <v>5</v>
      </c>
      <c r="B13" s="14" t="n">
        <f aca="false">Datos!A6</f>
        <v>45583</v>
      </c>
      <c r="C13" s="15" t="n">
        <f aca="false">Datos!B6</f>
        <v>162.76</v>
      </c>
      <c r="D13" s="16" t="str">
        <f aca="false">IF(A13&lt;N_rap,"",IF(A13=N_rap,AVERAGE($C$9:C13),a_rap*C13+(1-a_rap)*D12))</f>
        <v/>
      </c>
      <c r="E13" s="16" t="str">
        <f aca="false">IF(A13&lt;N_len,"",IF(A13=N_len,AVERAGE($C$9:C13),a_len*C13+(1-a_len)*E12))</f>
        <v/>
      </c>
      <c r="F13" s="16" t="str">
        <f aca="false">IF(E13="","",D13-E13)</f>
        <v/>
      </c>
      <c r="G13" s="16" t="str">
        <f aca="false">IF(A13&lt;N_len+N_sen-1,"",IF(A13=N_len+N_sen-1,AVERAGE($F$9:F13),a_sen*F13+(1-a_sen)*G12))</f>
        <v/>
      </c>
      <c r="H13" s="16" t="str">
        <f aca="false">IF(G13="","",F13-G13)</f>
        <v/>
      </c>
      <c r="I13" s="11" t="str">
        <f aca="false">IF(OR(H13="",H12=""),"",IF(AND(H12&lt;=0,H13&gt;0),"Cruce alcista",IF(AND(H12&gt;=0,H13&lt;0),"Cruce bajista","")))</f>
        <v/>
      </c>
      <c r="J13" s="11" t="str">
        <f aca="false">IF(F13="","",IF(F13&gt;0,"Arriba de 0","Debajo de 0"))</f>
        <v/>
      </c>
      <c r="K13" s="11" t="str">
        <f aca="false">IF(OR(F13="",F12=""),"",IF(ABS(F13)&lt;ABS(F12),"Convergen","Divergen"))</f>
        <v/>
      </c>
      <c r="L13" s="17" t="str">
        <f aca="false">IF(F13="","",F13/E13)</f>
        <v/>
      </c>
    </row>
    <row r="14" customFormat="false" ht="15" hidden="false" customHeight="false" outlineLevel="0" collapsed="false">
      <c r="A14" s="11" t="n">
        <f aca="false">ROW()-8</f>
        <v>6</v>
      </c>
      <c r="B14" s="14" t="n">
        <f aca="false">Datos!A7</f>
        <v>45590</v>
      </c>
      <c r="C14" s="15" t="n">
        <f aca="false">Datos!B7</f>
        <v>165.13</v>
      </c>
      <c r="D14" s="16" t="str">
        <f aca="false">IF(A14&lt;N_rap,"",IF(A14=N_rap,AVERAGE($C$9:C14),a_rap*C14+(1-a_rap)*D13))</f>
        <v/>
      </c>
      <c r="E14" s="16" t="str">
        <f aca="false">IF(A14&lt;N_len,"",IF(A14=N_len,AVERAGE($C$9:C14),a_len*C14+(1-a_len)*E13))</f>
        <v/>
      </c>
      <c r="F14" s="16" t="str">
        <f aca="false">IF(E14="","",D14-E14)</f>
        <v/>
      </c>
      <c r="G14" s="16" t="str">
        <f aca="false">IF(A14&lt;N_len+N_sen-1,"",IF(A14=N_len+N_sen-1,AVERAGE($F$9:F14),a_sen*F14+(1-a_sen)*G13))</f>
        <v/>
      </c>
      <c r="H14" s="16" t="str">
        <f aca="false">IF(G14="","",F14-G14)</f>
        <v/>
      </c>
      <c r="I14" s="11" t="str">
        <f aca="false">IF(OR(H14="",H13=""),"",IF(AND(H13&lt;=0,H14&gt;0),"Cruce alcista",IF(AND(H13&gt;=0,H14&lt;0),"Cruce bajista","")))</f>
        <v/>
      </c>
      <c r="J14" s="11" t="str">
        <f aca="false">IF(F14="","",IF(F14&gt;0,"Arriba de 0","Debajo de 0"))</f>
        <v/>
      </c>
      <c r="K14" s="11" t="str">
        <f aca="false">IF(OR(F14="",F13=""),"",IF(ABS(F14)&lt;ABS(F13),"Convergen","Divergen"))</f>
        <v/>
      </c>
      <c r="L14" s="17" t="str">
        <f aca="false">IF(F14="","",F14/E14)</f>
        <v/>
      </c>
    </row>
    <row r="15" customFormat="false" ht="15" hidden="false" customHeight="false" outlineLevel="0" collapsed="false">
      <c r="A15" s="11" t="n">
        <f aca="false">ROW()-8</f>
        <v>7</v>
      </c>
      <c r="B15" s="14" t="n">
        <f aca="false">Datos!A8</f>
        <v>45597</v>
      </c>
      <c r="C15" s="15" t="n">
        <f aca="false">Datos!B8</f>
        <v>165.35</v>
      </c>
      <c r="D15" s="16" t="str">
        <f aca="false">IF(A15&lt;N_rap,"",IF(A15=N_rap,AVERAGE($C$9:C15),a_rap*C15+(1-a_rap)*D14))</f>
        <v/>
      </c>
      <c r="E15" s="16" t="str">
        <f aca="false">IF(A15&lt;N_len,"",IF(A15=N_len,AVERAGE($C$9:C15),a_len*C15+(1-a_len)*E14))</f>
        <v/>
      </c>
      <c r="F15" s="16" t="str">
        <f aca="false">IF(E15="","",D15-E15)</f>
        <v/>
      </c>
      <c r="G15" s="16" t="str">
        <f aca="false">IF(A15&lt;N_len+N_sen-1,"",IF(A15=N_len+N_sen-1,AVERAGE($F$9:F15),a_sen*F15+(1-a_sen)*G14))</f>
        <v/>
      </c>
      <c r="H15" s="16" t="str">
        <f aca="false">IF(G15="","",F15-G15)</f>
        <v/>
      </c>
      <c r="I15" s="11" t="str">
        <f aca="false">IF(OR(H15="",H14=""),"",IF(AND(H14&lt;=0,H15&gt;0),"Cruce alcista",IF(AND(H14&gt;=0,H15&lt;0),"Cruce bajista","")))</f>
        <v/>
      </c>
      <c r="J15" s="11" t="str">
        <f aca="false">IF(F15="","",IF(F15&gt;0,"Arriba de 0","Debajo de 0"))</f>
        <v/>
      </c>
      <c r="K15" s="11" t="str">
        <f aca="false">IF(OR(F15="",F14=""),"",IF(ABS(F15)&lt;ABS(F14),"Convergen","Divergen"))</f>
        <v/>
      </c>
      <c r="L15" s="17" t="str">
        <f aca="false">IF(F15="","",F15/E15)</f>
        <v/>
      </c>
    </row>
    <row r="16" customFormat="false" ht="15" hidden="false" customHeight="false" outlineLevel="0" collapsed="false">
      <c r="A16" s="11" t="n">
        <f aca="false">ROW()-8</f>
        <v>8</v>
      </c>
      <c r="B16" s="14" t="n">
        <f aca="false">Datos!A9</f>
        <v>45604</v>
      </c>
      <c r="C16" s="15" t="n">
        <f aca="false">Datos!B9</f>
        <v>161.85</v>
      </c>
      <c r="D16" s="16" t="str">
        <f aca="false">IF(A16&lt;N_rap,"",IF(A16=N_rap,AVERAGE($C$9:C16),a_rap*C16+(1-a_rap)*D15))</f>
        <v/>
      </c>
      <c r="E16" s="16" t="str">
        <f aca="false">IF(A16&lt;N_len,"",IF(A16=N_len,AVERAGE($C$9:C16),a_len*C16+(1-a_len)*E15))</f>
        <v/>
      </c>
      <c r="F16" s="16" t="str">
        <f aca="false">IF(E16="","",D16-E16)</f>
        <v/>
      </c>
      <c r="G16" s="16" t="str">
        <f aca="false">IF(A16&lt;N_len+N_sen-1,"",IF(A16=N_len+N_sen-1,AVERAGE($F$9:F16),a_sen*F16+(1-a_sen)*G15))</f>
        <v/>
      </c>
      <c r="H16" s="16" t="str">
        <f aca="false">IF(G16="","",F16-G16)</f>
        <v/>
      </c>
      <c r="I16" s="11" t="str">
        <f aca="false">IF(OR(H16="",H15=""),"",IF(AND(H15&lt;=0,H16&gt;0),"Cruce alcista",IF(AND(H15&gt;=0,H16&lt;0),"Cruce bajista","")))</f>
        <v/>
      </c>
      <c r="J16" s="11" t="str">
        <f aca="false">IF(F16="","",IF(F16&gt;0,"Arriba de 0","Debajo de 0"))</f>
        <v/>
      </c>
      <c r="K16" s="11" t="str">
        <f aca="false">IF(OR(F16="",F15=""),"",IF(ABS(F16)&lt;ABS(F15),"Convergen","Divergen"))</f>
        <v/>
      </c>
      <c r="L16" s="17" t="str">
        <f aca="false">IF(F16="","",F16/E16)</f>
        <v/>
      </c>
    </row>
    <row r="17" customFormat="false" ht="15" hidden="false" customHeight="false" outlineLevel="0" collapsed="false">
      <c r="A17" s="11" t="n">
        <f aca="false">ROW()-8</f>
        <v>9</v>
      </c>
      <c r="B17" s="14" t="n">
        <f aca="false">Datos!A10</f>
        <v>45611</v>
      </c>
      <c r="C17" s="15" t="n">
        <f aca="false">Datos!B10</f>
        <v>165.48</v>
      </c>
      <c r="D17" s="16" t="str">
        <f aca="false">IF(A17&lt;N_rap,"",IF(A17=N_rap,AVERAGE($C$9:C17),a_rap*C17+(1-a_rap)*D16))</f>
        <v/>
      </c>
      <c r="E17" s="16" t="str">
        <f aca="false">IF(A17&lt;N_len,"",IF(A17=N_len,AVERAGE($C$9:C17),a_len*C17+(1-a_len)*E16))</f>
        <v/>
      </c>
      <c r="F17" s="16" t="str">
        <f aca="false">IF(E17="","",D17-E17)</f>
        <v/>
      </c>
      <c r="G17" s="16" t="str">
        <f aca="false">IF(A17&lt;N_len+N_sen-1,"",IF(A17=N_len+N_sen-1,AVERAGE($F$9:F17),a_sen*F17+(1-a_sen)*G16))</f>
        <v/>
      </c>
      <c r="H17" s="16" t="str">
        <f aca="false">IF(G17="","",F17-G17)</f>
        <v/>
      </c>
      <c r="I17" s="11" t="str">
        <f aca="false">IF(OR(H17="",H16=""),"",IF(AND(H16&lt;=0,H17&gt;0),"Cruce alcista",IF(AND(H16&gt;=0,H17&lt;0),"Cruce bajista","")))</f>
        <v/>
      </c>
      <c r="J17" s="11" t="str">
        <f aca="false">IF(F17="","",IF(F17&gt;0,"Arriba de 0","Debajo de 0"))</f>
        <v/>
      </c>
      <c r="K17" s="11" t="str">
        <f aca="false">IF(OR(F17="",F16=""),"",IF(ABS(F17)&lt;ABS(F16),"Convergen","Divergen"))</f>
        <v/>
      </c>
      <c r="L17" s="17" t="str">
        <f aca="false">IF(F17="","",F17/E17)</f>
        <v/>
      </c>
    </row>
    <row r="18" customFormat="false" ht="15" hidden="false" customHeight="false" outlineLevel="0" collapsed="false">
      <c r="A18" s="11" t="n">
        <f aca="false">ROW()-8</f>
        <v>10</v>
      </c>
      <c r="B18" s="14" t="n">
        <f aca="false">Datos!A11</f>
        <v>45618</v>
      </c>
      <c r="C18" s="15" t="n">
        <f aca="false">Datos!B11</f>
        <v>162.15</v>
      </c>
      <c r="D18" s="16" t="str">
        <f aca="false">IF(A18&lt;N_rap,"",IF(A18=N_rap,AVERAGE($C$9:C18),a_rap*C18+(1-a_rap)*D17))</f>
        <v/>
      </c>
      <c r="E18" s="16" t="str">
        <f aca="false">IF(A18&lt;N_len,"",IF(A18=N_len,AVERAGE($C$9:C18),a_len*C18+(1-a_len)*E17))</f>
        <v/>
      </c>
      <c r="F18" s="16" t="str">
        <f aca="false">IF(E18="","",D18-E18)</f>
        <v/>
      </c>
      <c r="G18" s="16" t="str">
        <f aca="false">IF(A18&lt;N_len+N_sen-1,"",IF(A18=N_len+N_sen-1,AVERAGE($F$9:F18),a_sen*F18+(1-a_sen)*G17))</f>
        <v/>
      </c>
      <c r="H18" s="16" t="str">
        <f aca="false">IF(G18="","",F18-G18)</f>
        <v/>
      </c>
      <c r="I18" s="11" t="str">
        <f aca="false">IF(OR(H18="",H17=""),"",IF(AND(H17&lt;=0,H18&gt;0),"Cruce alcista",IF(AND(H17&gt;=0,H18&lt;0),"Cruce bajista","")))</f>
        <v/>
      </c>
      <c r="J18" s="11" t="str">
        <f aca="false">IF(F18="","",IF(F18&gt;0,"Arriba de 0","Debajo de 0"))</f>
        <v/>
      </c>
      <c r="K18" s="11" t="str">
        <f aca="false">IF(OR(F18="",F17=""),"",IF(ABS(F18)&lt;ABS(F17),"Convergen","Divergen"))</f>
        <v/>
      </c>
      <c r="L18" s="17" t="str">
        <f aca="false">IF(F18="","",F18/E18)</f>
        <v/>
      </c>
    </row>
    <row r="19" customFormat="false" ht="15" hidden="false" customHeight="false" outlineLevel="0" collapsed="false">
      <c r="A19" s="11" t="n">
        <f aca="false">ROW()-8</f>
        <v>11</v>
      </c>
      <c r="B19" s="14" t="n">
        <f aca="false">Datos!A12</f>
        <v>45625</v>
      </c>
      <c r="C19" s="15" t="n">
        <f aca="false">Datos!B12</f>
        <v>166.72</v>
      </c>
      <c r="D19" s="16" t="str">
        <f aca="false">IF(A19&lt;N_rap,"",IF(A19=N_rap,AVERAGE($C$9:C19),a_rap*C19+(1-a_rap)*D18))</f>
        <v/>
      </c>
      <c r="E19" s="16" t="str">
        <f aca="false">IF(A19&lt;N_len,"",IF(A19=N_len,AVERAGE($C$9:C19),a_len*C19+(1-a_len)*E18))</f>
        <v/>
      </c>
      <c r="F19" s="16" t="str">
        <f aca="false">IF(E19="","",D19-E19)</f>
        <v/>
      </c>
      <c r="G19" s="16" t="str">
        <f aca="false">IF(A19&lt;N_len+N_sen-1,"",IF(A19=N_len+N_sen-1,AVERAGE($F$9:F19),a_sen*F19+(1-a_sen)*G18))</f>
        <v/>
      </c>
      <c r="H19" s="16" t="str">
        <f aca="false">IF(G19="","",F19-G19)</f>
        <v/>
      </c>
      <c r="I19" s="11" t="str">
        <f aca="false">IF(OR(H19="",H18=""),"",IF(AND(H18&lt;=0,H19&gt;0),"Cruce alcista",IF(AND(H18&gt;=0,H19&lt;0),"Cruce bajista","")))</f>
        <v/>
      </c>
      <c r="J19" s="11" t="str">
        <f aca="false">IF(F19="","",IF(F19&gt;0,"Arriba de 0","Debajo de 0"))</f>
        <v/>
      </c>
      <c r="K19" s="11" t="str">
        <f aca="false">IF(OR(F19="",F18=""),"",IF(ABS(F19)&lt;ABS(F18),"Convergen","Divergen"))</f>
        <v/>
      </c>
      <c r="L19" s="17" t="str">
        <f aca="false">IF(F19="","",F19/E19)</f>
        <v/>
      </c>
    </row>
    <row r="20" customFormat="false" ht="15" hidden="false" customHeight="false" outlineLevel="0" collapsed="false">
      <c r="A20" s="11" t="n">
        <f aca="false">ROW()-8</f>
        <v>12</v>
      </c>
      <c r="B20" s="14" t="n">
        <f aca="false">Datos!A13</f>
        <v>45632</v>
      </c>
      <c r="C20" s="15" t="n">
        <f aca="false">Datos!B13</f>
        <v>162.27</v>
      </c>
      <c r="D20" s="16" t="n">
        <f aca="false">IF(A20&lt;N_rap,"",IF(A20=N_rap,AVERAGE($C$9:C20),a_rap*C20+(1-a_rap)*D19))</f>
        <v>165.395833333333</v>
      </c>
      <c r="E20" s="16" t="str">
        <f aca="false">IF(A20&lt;N_len,"",IF(A20=N_len,AVERAGE($C$9:C20),a_len*C20+(1-a_len)*E19))</f>
        <v/>
      </c>
      <c r="F20" s="16" t="str">
        <f aca="false">IF(E20="","",D20-E20)</f>
        <v/>
      </c>
      <c r="G20" s="16" t="str">
        <f aca="false">IF(A20&lt;N_len+N_sen-1,"",IF(A20=N_len+N_sen-1,AVERAGE($F$9:F20),a_sen*F20+(1-a_sen)*G19))</f>
        <v/>
      </c>
      <c r="H20" s="16" t="str">
        <f aca="false">IF(G20="","",F20-G20)</f>
        <v/>
      </c>
      <c r="I20" s="11" t="str">
        <f aca="false">IF(OR(H20="",H19=""),"",IF(AND(H19&lt;=0,H20&gt;0),"Cruce alcista",IF(AND(H19&gt;=0,H20&lt;0),"Cruce bajista","")))</f>
        <v/>
      </c>
      <c r="J20" s="11" t="str">
        <f aca="false">IF(F20="","",IF(F20&gt;0,"Arriba de 0","Debajo de 0"))</f>
        <v/>
      </c>
      <c r="K20" s="11" t="str">
        <f aca="false">IF(OR(F20="",F19=""),"",IF(ABS(F20)&lt;ABS(F19),"Convergen","Divergen"))</f>
        <v/>
      </c>
      <c r="L20" s="17" t="str">
        <f aca="false">IF(F20="","",F20/E20)</f>
        <v/>
      </c>
    </row>
    <row r="21" customFormat="false" ht="15" hidden="false" customHeight="false" outlineLevel="0" collapsed="false">
      <c r="A21" s="11" t="n">
        <f aca="false">ROW()-8</f>
        <v>13</v>
      </c>
      <c r="B21" s="14" t="n">
        <f aca="false">Datos!A14</f>
        <v>45639</v>
      </c>
      <c r="C21" s="15" t="n">
        <f aca="false">Datos!B14</f>
        <v>158.8</v>
      </c>
      <c r="D21" s="16" t="n">
        <f aca="false">IF(A21&lt;N_rap,"",IF(A21=N_rap,AVERAGE($C$9:C21),a_rap*C21+(1-a_rap)*D20))</f>
        <v>164.38108974359</v>
      </c>
      <c r="E21" s="16" t="str">
        <f aca="false">IF(A21&lt;N_len,"",IF(A21=N_len,AVERAGE($C$9:C21),a_len*C21+(1-a_len)*E20))</f>
        <v/>
      </c>
      <c r="F21" s="16" t="str">
        <f aca="false">IF(E21="","",D21-E21)</f>
        <v/>
      </c>
      <c r="G21" s="16" t="str">
        <f aca="false">IF(A21&lt;N_len+N_sen-1,"",IF(A21=N_len+N_sen-1,AVERAGE($F$9:F21),a_sen*F21+(1-a_sen)*G20))</f>
        <v/>
      </c>
      <c r="H21" s="16" t="str">
        <f aca="false">IF(G21="","",F21-G21)</f>
        <v/>
      </c>
      <c r="I21" s="11" t="str">
        <f aca="false">IF(OR(H21="",H20=""),"",IF(AND(H20&lt;=0,H21&gt;0),"Cruce alcista",IF(AND(H20&gt;=0,H21&lt;0),"Cruce bajista","")))</f>
        <v/>
      </c>
      <c r="J21" s="11" t="str">
        <f aca="false">IF(F21="","",IF(F21&gt;0,"Arriba de 0","Debajo de 0"))</f>
        <v/>
      </c>
      <c r="K21" s="11" t="str">
        <f aca="false">IF(OR(F21="",F20=""),"",IF(ABS(F21)&lt;ABS(F20),"Convergen","Divergen"))</f>
        <v/>
      </c>
      <c r="L21" s="17" t="str">
        <f aca="false">IF(F21="","",F21/E21)</f>
        <v/>
      </c>
    </row>
    <row r="22" customFormat="false" ht="15" hidden="false" customHeight="false" outlineLevel="0" collapsed="false">
      <c r="A22" s="11" t="n">
        <f aca="false">ROW()-8</f>
        <v>14</v>
      </c>
      <c r="B22" s="14" t="n">
        <f aca="false">Datos!A15</f>
        <v>45646</v>
      </c>
      <c r="C22" s="15" t="n">
        <f aca="false">Datos!B15</f>
        <v>164.42</v>
      </c>
      <c r="D22" s="16" t="n">
        <f aca="false">IF(A22&lt;N_rap,"",IF(A22=N_rap,AVERAGE($C$9:C22),a_rap*C22+(1-a_rap)*D21))</f>
        <v>164.387075936884</v>
      </c>
      <c r="E22" s="16" t="str">
        <f aca="false">IF(A22&lt;N_len,"",IF(A22=N_len,AVERAGE($C$9:C22),a_len*C22+(1-a_len)*E21))</f>
        <v/>
      </c>
      <c r="F22" s="16" t="str">
        <f aca="false">IF(E22="","",D22-E22)</f>
        <v/>
      </c>
      <c r="G22" s="16" t="str">
        <f aca="false">IF(A22&lt;N_len+N_sen-1,"",IF(A22=N_len+N_sen-1,AVERAGE($F$9:F22),a_sen*F22+(1-a_sen)*G21))</f>
        <v/>
      </c>
      <c r="H22" s="16" t="str">
        <f aca="false">IF(G22="","",F22-G22)</f>
        <v/>
      </c>
      <c r="I22" s="11" t="str">
        <f aca="false">IF(OR(H22="",H21=""),"",IF(AND(H21&lt;=0,H22&gt;0),"Cruce alcista",IF(AND(H21&gt;=0,H22&lt;0),"Cruce bajista","")))</f>
        <v/>
      </c>
      <c r="J22" s="11" t="str">
        <f aca="false">IF(F22="","",IF(F22&gt;0,"Arriba de 0","Debajo de 0"))</f>
        <v/>
      </c>
      <c r="K22" s="11" t="str">
        <f aca="false">IF(OR(F22="",F21=""),"",IF(ABS(F22)&lt;ABS(F21),"Convergen","Divergen"))</f>
        <v/>
      </c>
      <c r="L22" s="17" t="str">
        <f aca="false">IF(F22="","",F22/E22)</f>
        <v/>
      </c>
    </row>
    <row r="23" customFormat="false" ht="15" hidden="false" customHeight="false" outlineLevel="0" collapsed="false">
      <c r="A23" s="11" t="n">
        <f aca="false">ROW()-8</f>
        <v>15</v>
      </c>
      <c r="B23" s="14" t="n">
        <f aca="false">Datos!A16</f>
        <v>45653</v>
      </c>
      <c r="C23" s="15" t="n">
        <f aca="false">Datos!B16</f>
        <v>155.24</v>
      </c>
      <c r="D23" s="16" t="n">
        <f aca="false">IF(A23&lt;N_rap,"",IF(A23=N_rap,AVERAGE($C$9:C23),a_rap*C23+(1-a_rap)*D22))</f>
        <v>162.979833485055</v>
      </c>
      <c r="E23" s="16" t="str">
        <f aca="false">IF(A23&lt;N_len,"",IF(A23=N_len,AVERAGE($C$9:C23),a_len*C23+(1-a_len)*E22))</f>
        <v/>
      </c>
      <c r="F23" s="16" t="str">
        <f aca="false">IF(E23="","",D23-E23)</f>
        <v/>
      </c>
      <c r="G23" s="16" t="str">
        <f aca="false">IF(A23&lt;N_len+N_sen-1,"",IF(A23=N_len+N_sen-1,AVERAGE($F$9:F23),a_sen*F23+(1-a_sen)*G22))</f>
        <v/>
      </c>
      <c r="H23" s="16" t="str">
        <f aca="false">IF(G23="","",F23-G23)</f>
        <v/>
      </c>
      <c r="I23" s="11" t="str">
        <f aca="false">IF(OR(H23="",H22=""),"",IF(AND(H22&lt;=0,H23&gt;0),"Cruce alcista",IF(AND(H22&gt;=0,H23&lt;0),"Cruce bajista","")))</f>
        <v/>
      </c>
      <c r="J23" s="11" t="str">
        <f aca="false">IF(F23="","",IF(F23&gt;0,"Arriba de 0","Debajo de 0"))</f>
        <v/>
      </c>
      <c r="K23" s="11" t="str">
        <f aca="false">IF(OR(F23="",F22=""),"",IF(ABS(F23)&lt;ABS(F22),"Convergen","Divergen"))</f>
        <v/>
      </c>
      <c r="L23" s="17" t="str">
        <f aca="false">IF(F23="","",F23/E23)</f>
        <v/>
      </c>
    </row>
    <row r="24" customFormat="false" ht="15" hidden="false" customHeight="false" outlineLevel="0" collapsed="false">
      <c r="A24" s="11" t="n">
        <f aca="false">ROW()-8</f>
        <v>16</v>
      </c>
      <c r="B24" s="14" t="n">
        <f aca="false">Datos!A17</f>
        <v>45660</v>
      </c>
      <c r="C24" s="15" t="n">
        <f aca="false">Datos!B17</f>
        <v>150.86</v>
      </c>
      <c r="D24" s="16" t="n">
        <f aca="false">IF(A24&lt;N_rap,"",IF(A24=N_rap,AVERAGE($C$9:C24),a_rap*C24+(1-a_rap)*D23))</f>
        <v>161.115243718124</v>
      </c>
      <c r="E24" s="16" t="str">
        <f aca="false">IF(A24&lt;N_len,"",IF(A24=N_len,AVERAGE($C$9:C24),a_len*C24+(1-a_len)*E23))</f>
        <v/>
      </c>
      <c r="F24" s="16" t="str">
        <f aca="false">IF(E24="","",D24-E24)</f>
        <v/>
      </c>
      <c r="G24" s="16" t="str">
        <f aca="false">IF(A24&lt;N_len+N_sen-1,"",IF(A24=N_len+N_sen-1,AVERAGE($F$9:F24),a_sen*F24+(1-a_sen)*G23))</f>
        <v/>
      </c>
      <c r="H24" s="16" t="str">
        <f aca="false">IF(G24="","",F24-G24)</f>
        <v/>
      </c>
      <c r="I24" s="11" t="str">
        <f aca="false">IF(OR(H24="",H23=""),"",IF(AND(H23&lt;=0,H24&gt;0),"Cruce alcista",IF(AND(H23&gt;=0,H24&lt;0),"Cruce bajista","")))</f>
        <v/>
      </c>
      <c r="J24" s="11" t="str">
        <f aca="false">IF(F24="","",IF(F24&gt;0,"Arriba de 0","Debajo de 0"))</f>
        <v/>
      </c>
      <c r="K24" s="11" t="str">
        <f aca="false">IF(OR(F24="",F23=""),"",IF(ABS(F24)&lt;ABS(F23),"Convergen","Divergen"))</f>
        <v/>
      </c>
      <c r="L24" s="17" t="str">
        <f aca="false">IF(F24="","",F24/E24)</f>
        <v/>
      </c>
    </row>
    <row r="25" customFormat="false" ht="15" hidden="false" customHeight="false" outlineLevel="0" collapsed="false">
      <c r="A25" s="11" t="n">
        <f aca="false">ROW()-8</f>
        <v>17</v>
      </c>
      <c r="B25" s="14" t="n">
        <f aca="false">Datos!A18</f>
        <v>45667</v>
      </c>
      <c r="C25" s="15" t="n">
        <f aca="false">Datos!B18</f>
        <v>151.3</v>
      </c>
      <c r="D25" s="16" t="n">
        <f aca="false">IF(A25&lt;N_rap,"",IF(A25=N_rap,AVERAGE($C$9:C25),a_rap*C25+(1-a_rap)*D24))</f>
        <v>159.605206223028</v>
      </c>
      <c r="E25" s="16" t="str">
        <f aca="false">IF(A25&lt;N_len,"",IF(A25=N_len,AVERAGE($C$9:C25),a_len*C25+(1-a_len)*E24))</f>
        <v/>
      </c>
      <c r="F25" s="16" t="str">
        <f aca="false">IF(E25="","",D25-E25)</f>
        <v/>
      </c>
      <c r="G25" s="16" t="str">
        <f aca="false">IF(A25&lt;N_len+N_sen-1,"",IF(A25=N_len+N_sen-1,AVERAGE($F$9:F25),a_sen*F25+(1-a_sen)*G24))</f>
        <v/>
      </c>
      <c r="H25" s="16" t="str">
        <f aca="false">IF(G25="","",F25-G25)</f>
        <v/>
      </c>
      <c r="I25" s="11" t="str">
        <f aca="false">IF(OR(H25="",H24=""),"",IF(AND(H24&lt;=0,H25&gt;0),"Cruce alcista",IF(AND(H24&gt;=0,H25&lt;0),"Cruce bajista","")))</f>
        <v/>
      </c>
      <c r="J25" s="11" t="str">
        <f aca="false">IF(F25="","",IF(F25&gt;0,"Arriba de 0","Debajo de 0"))</f>
        <v/>
      </c>
      <c r="K25" s="11" t="str">
        <f aca="false">IF(OR(F25="",F24=""),"",IF(ABS(F25)&lt;ABS(F24),"Convergen","Divergen"))</f>
        <v/>
      </c>
      <c r="L25" s="17" t="str">
        <f aca="false">IF(F25="","",F25/E25)</f>
        <v/>
      </c>
    </row>
    <row r="26" customFormat="false" ht="15" hidden="false" customHeight="false" outlineLevel="0" collapsed="false">
      <c r="A26" s="11" t="n">
        <f aca="false">ROW()-8</f>
        <v>18</v>
      </c>
      <c r="B26" s="14" t="n">
        <f aca="false">Datos!A19</f>
        <v>45674</v>
      </c>
      <c r="C26" s="15" t="n">
        <f aca="false">Datos!B19</f>
        <v>156.79</v>
      </c>
      <c r="D26" s="16" t="n">
        <f aca="false">IF(A26&lt;N_rap,"",IF(A26=N_rap,AVERAGE($C$9:C26),a_rap*C26+(1-a_rap)*D25))</f>
        <v>159.172097573331</v>
      </c>
      <c r="E26" s="16" t="str">
        <f aca="false">IF(A26&lt;N_len,"",IF(A26=N_len,AVERAGE($C$9:C26),a_len*C26+(1-a_len)*E25))</f>
        <v/>
      </c>
      <c r="F26" s="16" t="str">
        <f aca="false">IF(E26="","",D26-E26)</f>
        <v/>
      </c>
      <c r="G26" s="16" t="str">
        <f aca="false">IF(A26&lt;N_len+N_sen-1,"",IF(A26=N_len+N_sen-1,AVERAGE($F$9:F26),a_sen*F26+(1-a_sen)*G25))</f>
        <v/>
      </c>
      <c r="H26" s="16" t="str">
        <f aca="false">IF(G26="","",F26-G26)</f>
        <v/>
      </c>
      <c r="I26" s="11" t="str">
        <f aca="false">IF(OR(H26="",H25=""),"",IF(AND(H25&lt;=0,H26&gt;0),"Cruce alcista",IF(AND(H25&gt;=0,H26&lt;0),"Cruce bajista","")))</f>
        <v/>
      </c>
      <c r="J26" s="11" t="str">
        <f aca="false">IF(F26="","",IF(F26&gt;0,"Arriba de 0","Debajo de 0"))</f>
        <v/>
      </c>
      <c r="K26" s="11" t="str">
        <f aca="false">IF(OR(F26="",F25=""),"",IF(ABS(F26)&lt;ABS(F25),"Convergen","Divergen"))</f>
        <v/>
      </c>
      <c r="L26" s="17" t="str">
        <f aca="false">IF(F26="","",F26/E26)</f>
        <v/>
      </c>
    </row>
    <row r="27" customFormat="false" ht="15" hidden="false" customHeight="false" outlineLevel="0" collapsed="false">
      <c r="A27" s="11" t="n">
        <f aca="false">ROW()-8</f>
        <v>19</v>
      </c>
      <c r="B27" s="14" t="n">
        <f aca="false">Datos!A20</f>
        <v>45681</v>
      </c>
      <c r="C27" s="15" t="n">
        <f aca="false">Datos!B20</f>
        <v>157.19</v>
      </c>
      <c r="D27" s="16" t="n">
        <f aca="false">IF(A27&lt;N_rap,"",IF(A27=N_rap,AVERAGE($C$9:C27),a_rap*C27+(1-a_rap)*D26))</f>
        <v>158.867159485126</v>
      </c>
      <c r="E27" s="16" t="str">
        <f aca="false">IF(A27&lt;N_len,"",IF(A27=N_len,AVERAGE($C$9:C27),a_len*C27+(1-a_len)*E26))</f>
        <v/>
      </c>
      <c r="F27" s="16" t="str">
        <f aca="false">IF(E27="","",D27-E27)</f>
        <v/>
      </c>
      <c r="G27" s="16" t="str">
        <f aca="false">IF(A27&lt;N_len+N_sen-1,"",IF(A27=N_len+N_sen-1,AVERAGE($F$9:F27),a_sen*F27+(1-a_sen)*G26))</f>
        <v/>
      </c>
      <c r="H27" s="16" t="str">
        <f aca="false">IF(G27="","",F27-G27)</f>
        <v/>
      </c>
      <c r="I27" s="11" t="str">
        <f aca="false">IF(OR(H27="",H26=""),"",IF(AND(H26&lt;=0,H27&gt;0),"Cruce alcista",IF(AND(H26&gt;=0,H27&lt;0),"Cruce bajista","")))</f>
        <v/>
      </c>
      <c r="J27" s="11" t="str">
        <f aca="false">IF(F27="","",IF(F27&gt;0,"Arriba de 0","Debajo de 0"))</f>
        <v/>
      </c>
      <c r="K27" s="11" t="str">
        <f aca="false">IF(OR(F27="",F26=""),"",IF(ABS(F27)&lt;ABS(F26),"Convergen","Divergen"))</f>
        <v/>
      </c>
      <c r="L27" s="17" t="str">
        <f aca="false">IF(F27="","",F27/E27)</f>
        <v/>
      </c>
    </row>
    <row r="28" customFormat="false" ht="15" hidden="false" customHeight="false" outlineLevel="0" collapsed="false">
      <c r="A28" s="11" t="n">
        <f aca="false">ROW()-8</f>
        <v>20</v>
      </c>
      <c r="B28" s="14" t="n">
        <f aca="false">Datos!A21</f>
        <v>45688</v>
      </c>
      <c r="C28" s="15" t="n">
        <f aca="false">Datos!B21</f>
        <v>159.63</v>
      </c>
      <c r="D28" s="16" t="n">
        <f aca="false">IF(A28&lt;N_rap,"",IF(A28=N_rap,AVERAGE($C$9:C28),a_rap*C28+(1-a_rap)*D27))</f>
        <v>158.984519564338</v>
      </c>
      <c r="E28" s="16" t="str">
        <f aca="false">IF(A28&lt;N_len,"",IF(A28=N_len,AVERAGE($C$9:C28),a_len*C28+(1-a_len)*E27))</f>
        <v/>
      </c>
      <c r="F28" s="16" t="str">
        <f aca="false">IF(E28="","",D28-E28)</f>
        <v/>
      </c>
      <c r="G28" s="16" t="str">
        <f aca="false">IF(A28&lt;N_len+N_sen-1,"",IF(A28=N_len+N_sen-1,AVERAGE($F$9:F28),a_sen*F28+(1-a_sen)*G27))</f>
        <v/>
      </c>
      <c r="H28" s="16" t="str">
        <f aca="false">IF(G28="","",F28-G28)</f>
        <v/>
      </c>
      <c r="I28" s="11" t="str">
        <f aca="false">IF(OR(H28="",H27=""),"",IF(AND(H27&lt;=0,H28&gt;0),"Cruce alcista",IF(AND(H27&gt;=0,H28&lt;0),"Cruce bajista","")))</f>
        <v/>
      </c>
      <c r="J28" s="11" t="str">
        <f aca="false">IF(F28="","",IF(F28&gt;0,"Arriba de 0","Debajo de 0"))</f>
        <v/>
      </c>
      <c r="K28" s="11" t="str">
        <f aca="false">IF(OR(F28="",F27=""),"",IF(ABS(F28)&lt;ABS(F27),"Convergen","Divergen"))</f>
        <v/>
      </c>
      <c r="L28" s="17" t="str">
        <f aca="false">IF(F28="","",F28/E28)</f>
        <v/>
      </c>
    </row>
    <row r="29" customFormat="false" ht="15" hidden="false" customHeight="false" outlineLevel="0" collapsed="false">
      <c r="A29" s="11" t="n">
        <f aca="false">ROW()-8</f>
        <v>21</v>
      </c>
      <c r="B29" s="14" t="n">
        <f aca="false">Datos!A22</f>
        <v>45695</v>
      </c>
      <c r="C29" s="15" t="n">
        <f aca="false">Datos!B22</f>
        <v>161.06</v>
      </c>
      <c r="D29" s="16" t="n">
        <f aca="false">IF(A29&lt;N_rap,"",IF(A29=N_rap,AVERAGE($C$9:C29),a_rap*C29+(1-a_rap)*D28))</f>
        <v>159.303824246747</v>
      </c>
      <c r="E29" s="16" t="str">
        <f aca="false">IF(A29&lt;N_len,"",IF(A29=N_len,AVERAGE($C$9:C29),a_len*C29+(1-a_len)*E28))</f>
        <v/>
      </c>
      <c r="F29" s="16" t="str">
        <f aca="false">IF(E29="","",D29-E29)</f>
        <v/>
      </c>
      <c r="G29" s="16" t="str">
        <f aca="false">IF(A29&lt;N_len+N_sen-1,"",IF(A29=N_len+N_sen-1,AVERAGE($F$9:F29),a_sen*F29+(1-a_sen)*G28))</f>
        <v/>
      </c>
      <c r="H29" s="16" t="str">
        <f aca="false">IF(G29="","",F29-G29)</f>
        <v/>
      </c>
      <c r="I29" s="11" t="str">
        <f aca="false">IF(OR(H29="",H28=""),"",IF(AND(H28&lt;=0,H29&gt;0),"Cruce alcista",IF(AND(H28&gt;=0,H29&lt;0),"Cruce bajista","")))</f>
        <v/>
      </c>
      <c r="J29" s="11" t="str">
        <f aca="false">IF(F29="","",IF(F29&gt;0,"Arriba de 0","Debajo de 0"))</f>
        <v/>
      </c>
      <c r="K29" s="11" t="str">
        <f aca="false">IF(OR(F29="",F28=""),"",IF(ABS(F29)&lt;ABS(F28),"Convergen","Divergen"))</f>
        <v/>
      </c>
      <c r="L29" s="17" t="str">
        <f aca="false">IF(F29="","",F29/E29)</f>
        <v/>
      </c>
    </row>
    <row r="30" customFormat="false" ht="15" hidden="false" customHeight="false" outlineLevel="0" collapsed="false">
      <c r="A30" s="11" t="n">
        <f aca="false">ROW()-8</f>
        <v>22</v>
      </c>
      <c r="B30" s="14" t="n">
        <f aca="false">Datos!A23</f>
        <v>45702</v>
      </c>
      <c r="C30" s="15" t="n">
        <f aca="false">Datos!B23</f>
        <v>156.64</v>
      </c>
      <c r="D30" s="16" t="n">
        <f aca="false">IF(A30&lt;N_rap,"",IF(A30=N_rap,AVERAGE($C$9:C30),a_rap*C30+(1-a_rap)*D29))</f>
        <v>158.894005131863</v>
      </c>
      <c r="E30" s="16" t="str">
        <f aca="false">IF(A30&lt;N_len,"",IF(A30=N_len,AVERAGE($C$9:C30),a_len*C30+(1-a_len)*E29))</f>
        <v/>
      </c>
      <c r="F30" s="16" t="str">
        <f aca="false">IF(E30="","",D30-E30)</f>
        <v/>
      </c>
      <c r="G30" s="16" t="str">
        <f aca="false">IF(A30&lt;N_len+N_sen-1,"",IF(A30=N_len+N_sen-1,AVERAGE($F$9:F30),a_sen*F30+(1-a_sen)*G29))</f>
        <v/>
      </c>
      <c r="H30" s="16" t="str">
        <f aca="false">IF(G30="","",F30-G30)</f>
        <v/>
      </c>
      <c r="I30" s="11" t="str">
        <f aca="false">IF(OR(H30="",H29=""),"",IF(AND(H29&lt;=0,H30&gt;0),"Cruce alcista",IF(AND(H29&gt;=0,H30&lt;0),"Cruce bajista","")))</f>
        <v/>
      </c>
      <c r="J30" s="11" t="str">
        <f aca="false">IF(F30="","",IF(F30&gt;0,"Arriba de 0","Debajo de 0"))</f>
        <v/>
      </c>
      <c r="K30" s="11" t="str">
        <f aca="false">IF(OR(F30="",F29=""),"",IF(ABS(F30)&lt;ABS(F29),"Convergen","Divergen"))</f>
        <v/>
      </c>
      <c r="L30" s="17" t="str">
        <f aca="false">IF(F30="","",F30/E30)</f>
        <v/>
      </c>
    </row>
    <row r="31" customFormat="false" ht="15" hidden="false" customHeight="false" outlineLevel="0" collapsed="false">
      <c r="A31" s="11" t="n">
        <f aca="false">ROW()-8</f>
        <v>23</v>
      </c>
      <c r="B31" s="14" t="n">
        <f aca="false">Datos!A24</f>
        <v>45709</v>
      </c>
      <c r="C31" s="15" t="n">
        <f aca="false">Datos!B24</f>
        <v>160.67</v>
      </c>
      <c r="D31" s="16" t="n">
        <f aca="false">IF(A31&lt;N_rap,"",IF(A31=N_rap,AVERAGE($C$9:C31),a_rap*C31+(1-a_rap)*D30))</f>
        <v>159.167235111576</v>
      </c>
      <c r="E31" s="16" t="str">
        <f aca="false">IF(A31&lt;N_len,"",IF(A31=N_len,AVERAGE($C$9:C31),a_len*C31+(1-a_len)*E30))</f>
        <v/>
      </c>
      <c r="F31" s="16" t="str">
        <f aca="false">IF(E31="","",D31-E31)</f>
        <v/>
      </c>
      <c r="G31" s="16" t="str">
        <f aca="false">IF(A31&lt;N_len+N_sen-1,"",IF(A31=N_len+N_sen-1,AVERAGE($F$9:F31),a_sen*F31+(1-a_sen)*G30))</f>
        <v/>
      </c>
      <c r="H31" s="16" t="str">
        <f aca="false">IF(G31="","",F31-G31)</f>
        <v/>
      </c>
      <c r="I31" s="11" t="str">
        <f aca="false">IF(OR(H31="",H30=""),"",IF(AND(H30&lt;=0,H31&gt;0),"Cruce alcista",IF(AND(H30&gt;=0,H31&lt;0),"Cruce bajista","")))</f>
        <v/>
      </c>
      <c r="J31" s="11" t="str">
        <f aca="false">IF(F31="","",IF(F31&gt;0,"Arriba de 0","Debajo de 0"))</f>
        <v/>
      </c>
      <c r="K31" s="11" t="str">
        <f aca="false">IF(OR(F31="",F30=""),"",IF(ABS(F31)&lt;ABS(F30),"Convergen","Divergen"))</f>
        <v/>
      </c>
      <c r="L31" s="17" t="str">
        <f aca="false">IF(F31="","",F31/E31)</f>
        <v/>
      </c>
    </row>
    <row r="32" customFormat="false" ht="15" hidden="false" customHeight="false" outlineLevel="0" collapsed="false">
      <c r="A32" s="11" t="n">
        <f aca="false">ROW()-8</f>
        <v>24</v>
      </c>
      <c r="B32" s="14" t="n">
        <f aca="false">Datos!A25</f>
        <v>45716</v>
      </c>
      <c r="C32" s="15" t="n">
        <f aca="false">Datos!B25</f>
        <v>162.66</v>
      </c>
      <c r="D32" s="16" t="n">
        <f aca="false">IF(A32&lt;N_rap,"",IF(A32=N_rap,AVERAGE($C$9:C32),a_rap*C32+(1-a_rap)*D31))</f>
        <v>159.704583555949</v>
      </c>
      <c r="E32" s="16" t="str">
        <f aca="false">IF(A32&lt;N_len,"",IF(A32=N_len,AVERAGE($C$9:C32),a_len*C32+(1-a_len)*E31))</f>
        <v/>
      </c>
      <c r="F32" s="16" t="str">
        <f aca="false">IF(E32="","",D32-E32)</f>
        <v/>
      </c>
      <c r="G32" s="16" t="str">
        <f aca="false">IF(A32&lt;N_len+N_sen-1,"",IF(A32=N_len+N_sen-1,AVERAGE($F$9:F32),a_sen*F32+(1-a_sen)*G31))</f>
        <v/>
      </c>
      <c r="H32" s="16" t="str">
        <f aca="false">IF(G32="","",F32-G32)</f>
        <v/>
      </c>
      <c r="I32" s="11" t="str">
        <f aca="false">IF(OR(H32="",H31=""),"",IF(AND(H31&lt;=0,H32&gt;0),"Cruce alcista",IF(AND(H31&gt;=0,H32&lt;0),"Cruce bajista","")))</f>
        <v/>
      </c>
      <c r="J32" s="11" t="str">
        <f aca="false">IF(F32="","",IF(F32&gt;0,"Arriba de 0","Debajo de 0"))</f>
        <v/>
      </c>
      <c r="K32" s="11" t="str">
        <f aca="false">IF(OR(F32="",F31=""),"",IF(ABS(F32)&lt;ABS(F31),"Convergen","Divergen"))</f>
        <v/>
      </c>
      <c r="L32" s="17" t="str">
        <f aca="false">IF(F32="","",F32/E32)</f>
        <v/>
      </c>
    </row>
    <row r="33" customFormat="false" ht="15" hidden="false" customHeight="false" outlineLevel="0" collapsed="false">
      <c r="A33" s="11" t="n">
        <f aca="false">ROW()-8</f>
        <v>25</v>
      </c>
      <c r="B33" s="14" t="n">
        <f aca="false">Datos!A26</f>
        <v>45723</v>
      </c>
      <c r="C33" s="15" t="n">
        <f aca="false">Datos!B26</f>
        <v>165.91</v>
      </c>
      <c r="D33" s="16" t="n">
        <f aca="false">IF(A33&lt;N_rap,"",IF(A33=N_rap,AVERAGE($C$9:C33),a_rap*C33+(1-a_rap)*D32))</f>
        <v>160.65926300888</v>
      </c>
      <c r="E33" s="16" t="str">
        <f aca="false">IF(A33&lt;N_len,"",IF(A33=N_len,AVERAGE($C$9:C33),a_len*C33+(1-a_len)*E32))</f>
        <v/>
      </c>
      <c r="F33" s="16" t="str">
        <f aca="false">IF(E33="","",D33-E33)</f>
        <v/>
      </c>
      <c r="G33" s="16" t="str">
        <f aca="false">IF(A33&lt;N_len+N_sen-1,"",IF(A33=N_len+N_sen-1,AVERAGE($F$9:F33),a_sen*F33+(1-a_sen)*G32))</f>
        <v/>
      </c>
      <c r="H33" s="16" t="str">
        <f aca="false">IF(G33="","",F33-G33)</f>
        <v/>
      </c>
      <c r="I33" s="11" t="str">
        <f aca="false">IF(OR(H33="",H32=""),"",IF(AND(H32&lt;=0,H33&gt;0),"Cruce alcista",IF(AND(H32&gt;=0,H33&lt;0),"Cruce bajista","")))</f>
        <v/>
      </c>
      <c r="J33" s="11" t="str">
        <f aca="false">IF(F33="","",IF(F33&gt;0,"Arriba de 0","Debajo de 0"))</f>
        <v/>
      </c>
      <c r="K33" s="11" t="str">
        <f aca="false">IF(OR(F33="",F32=""),"",IF(ABS(F33)&lt;ABS(F32),"Convergen","Divergen"))</f>
        <v/>
      </c>
      <c r="L33" s="17" t="str">
        <f aca="false">IF(F33="","",F33/E33)</f>
        <v/>
      </c>
    </row>
    <row r="34" customFormat="false" ht="15" hidden="false" customHeight="false" outlineLevel="0" collapsed="false">
      <c r="A34" s="11" t="n">
        <f aca="false">ROW()-8</f>
        <v>26</v>
      </c>
      <c r="B34" s="14" t="n">
        <f aca="false">Datos!A27</f>
        <v>45730</v>
      </c>
      <c r="C34" s="15" t="n">
        <f aca="false">Datos!B27</f>
        <v>171.62</v>
      </c>
      <c r="D34" s="16" t="n">
        <f aca="false">IF(A34&lt;N_rap,"",IF(A34=N_rap,AVERAGE($C$9:C34),a_rap*C34+(1-a_rap)*D33))</f>
        <v>162.345530238283</v>
      </c>
      <c r="E34" s="16" t="n">
        <f aca="false">IF(A34&lt;N_len,"",IF(A34=N_len,AVERAGE($C$9:C34),a_len*C34+(1-a_len)*E33))</f>
        <v>162.213076923077</v>
      </c>
      <c r="F34" s="16" t="n">
        <f aca="false">IF(E34="","",D34-E34)</f>
        <v>0.132453315206305</v>
      </c>
      <c r="G34" s="16" t="str">
        <f aca="false">IF(A34&lt;N_len+N_sen-1,"",IF(A34=N_len+N_sen-1,AVERAGE($F$9:F34),a_sen*F34+(1-a_sen)*G33))</f>
        <v/>
      </c>
      <c r="H34" s="16" t="str">
        <f aca="false">IF(G34="","",F34-G34)</f>
        <v/>
      </c>
      <c r="I34" s="11" t="str">
        <f aca="false">IF(OR(H34="",H33=""),"",IF(AND(H33&lt;=0,H34&gt;0),"Cruce alcista",IF(AND(H33&gt;=0,H34&lt;0),"Cruce bajista","")))</f>
        <v/>
      </c>
      <c r="J34" s="11" t="str">
        <f aca="false">IF(F34="","",IF(F34&gt;0,"Arriba de 0","Debajo de 0"))</f>
        <v>Arriba de 0</v>
      </c>
      <c r="K34" s="11" t="str">
        <f aca="false">IF(OR(F34="",F33=""),"",IF(ABS(F34)&lt;ABS(F33),"Convergen","Divergen"))</f>
        <v/>
      </c>
      <c r="L34" s="17" t="n">
        <f aca="false">IF(F34="","",F34/E34)</f>
        <v>0.000816539071440684</v>
      </c>
    </row>
    <row r="35" customFormat="false" ht="15" hidden="false" customHeight="false" outlineLevel="0" collapsed="false">
      <c r="A35" s="11" t="n">
        <f aca="false">ROW()-8</f>
        <v>27</v>
      </c>
      <c r="B35" s="14" t="n">
        <f aca="false">Datos!A28</f>
        <v>45737</v>
      </c>
      <c r="C35" s="15" t="n">
        <f aca="false">Datos!B28</f>
        <v>178.11</v>
      </c>
      <c r="D35" s="16" t="n">
        <f aca="false">IF(A35&lt;N_rap,"",IF(A35=N_rap,AVERAGE($C$9:C35),a_rap*C35+(1-a_rap)*D34))</f>
        <v>164.770833278547</v>
      </c>
      <c r="E35" s="16" t="n">
        <f aca="false">IF(A35&lt;N_len,"",IF(A35=N_len,AVERAGE($C$9:C35),a_len*C35+(1-a_len)*E34))</f>
        <v>163.390626780627</v>
      </c>
      <c r="F35" s="16" t="n">
        <f aca="false">IF(E35="","",D35-E35)</f>
        <v>1.38020649792057</v>
      </c>
      <c r="G35" s="16" t="str">
        <f aca="false">IF(A35&lt;N_len+N_sen-1,"",IF(A35=N_len+N_sen-1,AVERAGE($F$9:F35),a_sen*F35+(1-a_sen)*G34))</f>
        <v/>
      </c>
      <c r="H35" s="16" t="str">
        <f aca="false">IF(G35="","",F35-G35)</f>
        <v/>
      </c>
      <c r="I35" s="11" t="str">
        <f aca="false">IF(OR(H35="",H34=""),"",IF(AND(H34&lt;=0,H35&gt;0),"Cruce alcista",IF(AND(H34&gt;=0,H35&lt;0),"Cruce bajista","")))</f>
        <v/>
      </c>
      <c r="J35" s="11" t="str">
        <f aca="false">IF(F35="","",IF(F35&gt;0,"Arriba de 0","Debajo de 0"))</f>
        <v>Arriba de 0</v>
      </c>
      <c r="K35" s="11" t="str">
        <f aca="false">IF(OR(F35="",F34=""),"",IF(ABS(F35)&lt;ABS(F34),"Convergen","Divergen"))</f>
        <v>Divergen</v>
      </c>
      <c r="L35" s="17" t="n">
        <f aca="false">IF(F35="","",F35/E35)</f>
        <v>0.00844728075970769</v>
      </c>
    </row>
    <row r="36" customFormat="false" ht="15" hidden="false" customHeight="false" outlineLevel="0" collapsed="false">
      <c r="A36" s="11" t="n">
        <f aca="false">ROW()-8</f>
        <v>28</v>
      </c>
      <c r="B36" s="14" t="n">
        <f aca="false">Datos!A29</f>
        <v>45744</v>
      </c>
      <c r="C36" s="15" t="n">
        <f aca="false">Datos!B29</f>
        <v>177.68</v>
      </c>
      <c r="D36" s="16" t="n">
        <f aca="false">IF(A36&lt;N_rap,"",IF(A36=N_rap,AVERAGE($C$9:C36),a_rap*C36+(1-a_rap)*D35))</f>
        <v>166.756858928002</v>
      </c>
      <c r="E36" s="16" t="n">
        <f aca="false">IF(A36&lt;N_len,"",IF(A36=N_len,AVERAGE($C$9:C36),a_len*C36+(1-a_len)*E35))</f>
        <v>164.449098870951</v>
      </c>
      <c r="F36" s="16" t="n">
        <f aca="false">IF(E36="","",D36-E36)</f>
        <v>2.3077600570509</v>
      </c>
      <c r="G36" s="16" t="str">
        <f aca="false">IF(A36&lt;N_len+N_sen-1,"",IF(A36=N_len+N_sen-1,AVERAGE($F$9:F36),a_sen*F36+(1-a_sen)*G35))</f>
        <v/>
      </c>
      <c r="H36" s="16" t="str">
        <f aca="false">IF(G36="","",F36-G36)</f>
        <v/>
      </c>
      <c r="I36" s="11" t="str">
        <f aca="false">IF(OR(H36="",H35=""),"",IF(AND(H35&lt;=0,H36&gt;0),"Cruce alcista",IF(AND(H35&gt;=0,H36&lt;0),"Cruce bajista","")))</f>
        <v/>
      </c>
      <c r="J36" s="11" t="str">
        <f aca="false">IF(F36="","",IF(F36&gt;0,"Arriba de 0","Debajo de 0"))</f>
        <v>Arriba de 0</v>
      </c>
      <c r="K36" s="11" t="str">
        <f aca="false">IF(OR(F36="",F35=""),"",IF(ABS(F36)&lt;ABS(F35),"Convergen","Divergen"))</f>
        <v>Divergen</v>
      </c>
      <c r="L36" s="17" t="n">
        <f aca="false">IF(F36="","",F36/E36)</f>
        <v>0.0140332788254552</v>
      </c>
    </row>
    <row r="37" customFormat="false" ht="15" hidden="false" customHeight="false" outlineLevel="0" collapsed="false">
      <c r="A37" s="11" t="n">
        <f aca="false">ROW()-8</f>
        <v>29</v>
      </c>
      <c r="B37" s="14" t="n">
        <f aca="false">Datos!A30</f>
        <v>45751</v>
      </c>
      <c r="C37" s="15" t="n">
        <f aca="false">Datos!B30</f>
        <v>174.15</v>
      </c>
      <c r="D37" s="16" t="n">
        <f aca="false">IF(A37&lt;N_rap,"",IF(A37=N_rap,AVERAGE($C$9:C37),a_rap*C37+(1-a_rap)*D36))</f>
        <v>167.894265246771</v>
      </c>
      <c r="E37" s="16" t="n">
        <f aca="false">IF(A37&lt;N_len,"",IF(A37=N_len,AVERAGE($C$9:C37),a_len*C37+(1-a_len)*E36))</f>
        <v>165.167684139769</v>
      </c>
      <c r="F37" s="16" t="n">
        <f aca="false">IF(E37="","",D37-E37)</f>
        <v>2.72658110700141</v>
      </c>
      <c r="G37" s="16" t="str">
        <f aca="false">IF(A37&lt;N_len+N_sen-1,"",IF(A37=N_len+N_sen-1,AVERAGE($F$9:F37),a_sen*F37+(1-a_sen)*G36))</f>
        <v/>
      </c>
      <c r="H37" s="16" t="str">
        <f aca="false">IF(G37="","",F37-G37)</f>
        <v/>
      </c>
      <c r="I37" s="11" t="str">
        <f aca="false">IF(OR(H37="",H36=""),"",IF(AND(H36&lt;=0,H37&gt;0),"Cruce alcista",IF(AND(H36&gt;=0,H37&lt;0),"Cruce bajista","")))</f>
        <v/>
      </c>
      <c r="J37" s="11" t="str">
        <f aca="false">IF(F37="","",IF(F37&gt;0,"Arriba de 0","Debajo de 0"))</f>
        <v>Arriba de 0</v>
      </c>
      <c r="K37" s="11" t="str">
        <f aca="false">IF(OR(F37="",F36=""),"",IF(ABS(F37)&lt;ABS(F36),"Convergen","Divergen"))</f>
        <v>Divergen</v>
      </c>
      <c r="L37" s="17" t="n">
        <f aca="false">IF(F37="","",F37/E37)</f>
        <v>0.0165079574809204</v>
      </c>
    </row>
    <row r="38" customFormat="false" ht="15" hidden="false" customHeight="false" outlineLevel="0" collapsed="false">
      <c r="A38" s="11" t="n">
        <f aca="false">ROW()-8</f>
        <v>30</v>
      </c>
      <c r="B38" s="14" t="n">
        <f aca="false">Datos!A31</f>
        <v>45758</v>
      </c>
      <c r="C38" s="15" t="n">
        <f aca="false">Datos!B31</f>
        <v>187.27</v>
      </c>
      <c r="D38" s="16" t="n">
        <f aca="false">IF(A38&lt;N_rap,"",IF(A38=N_rap,AVERAGE($C$9:C38),a_rap*C38+(1-a_rap)*D37))</f>
        <v>170.875147516498</v>
      </c>
      <c r="E38" s="16" t="n">
        <f aca="false">IF(A38&lt;N_len,"",IF(A38=N_len,AVERAGE($C$9:C38),a_len*C38+(1-a_len)*E37))</f>
        <v>166.804892722009</v>
      </c>
      <c r="F38" s="16" t="n">
        <f aca="false">IF(E38="","",D38-E38)</f>
        <v>4.07025479448967</v>
      </c>
      <c r="G38" s="16" t="str">
        <f aca="false">IF(A38&lt;N_len+N_sen-1,"",IF(A38=N_len+N_sen-1,AVERAGE($F$9:F38),a_sen*F38+(1-a_sen)*G37))</f>
        <v/>
      </c>
      <c r="H38" s="16" t="str">
        <f aca="false">IF(G38="","",F38-G38)</f>
        <v/>
      </c>
      <c r="I38" s="11" t="str">
        <f aca="false">IF(OR(H38="",H37=""),"",IF(AND(H37&lt;=0,H38&gt;0),"Cruce alcista",IF(AND(H37&gt;=0,H38&lt;0),"Cruce bajista","")))</f>
        <v/>
      </c>
      <c r="J38" s="11" t="str">
        <f aca="false">IF(F38="","",IF(F38&gt;0,"Arriba de 0","Debajo de 0"))</f>
        <v>Arriba de 0</v>
      </c>
      <c r="K38" s="11" t="str">
        <f aca="false">IF(OR(F38="",F37=""),"",IF(ABS(F38)&lt;ABS(F37),"Convergen","Divergen"))</f>
        <v>Divergen</v>
      </c>
      <c r="L38" s="17" t="n">
        <f aca="false">IF(F38="","",F38/E38)</f>
        <v>0.024401291401404</v>
      </c>
    </row>
    <row r="39" customFormat="false" ht="15" hidden="false" customHeight="false" outlineLevel="0" collapsed="false">
      <c r="A39" s="11" t="n">
        <f aca="false">ROW()-8</f>
        <v>31</v>
      </c>
      <c r="B39" s="14" t="n">
        <f aca="false">Datos!A32</f>
        <v>45765</v>
      </c>
      <c r="C39" s="15" t="n">
        <f aca="false">Datos!B32</f>
        <v>186.52</v>
      </c>
      <c r="D39" s="16" t="n">
        <f aca="false">IF(A39&lt;N_rap,"",IF(A39=N_rap,AVERAGE($C$9:C39),a_rap*C39+(1-a_rap)*D38))</f>
        <v>173.282047898575</v>
      </c>
      <c r="E39" s="16" t="n">
        <f aca="false">IF(A39&lt;N_len,"",IF(A39=N_len,AVERAGE($C$9:C39),a_len*C39+(1-a_len)*E38))</f>
        <v>168.265271038897</v>
      </c>
      <c r="F39" s="16" t="n">
        <f aca="false">IF(E39="","",D39-E39)</f>
        <v>5.01677685967863</v>
      </c>
      <c r="G39" s="16" t="str">
        <f aca="false">IF(A39&lt;N_len+N_sen-1,"",IF(A39=N_len+N_sen-1,AVERAGE($F$9:F39),a_sen*F39+(1-a_sen)*G38))</f>
        <v/>
      </c>
      <c r="H39" s="16" t="str">
        <f aca="false">IF(G39="","",F39-G39)</f>
        <v/>
      </c>
      <c r="I39" s="11" t="str">
        <f aca="false">IF(OR(H39="",H38=""),"",IF(AND(H38&lt;=0,H39&gt;0),"Cruce alcista",IF(AND(H38&gt;=0,H39&lt;0),"Cruce bajista","")))</f>
        <v/>
      </c>
      <c r="J39" s="11" t="str">
        <f aca="false">IF(F39="","",IF(F39&gt;0,"Arriba de 0","Debajo de 0"))</f>
        <v>Arriba de 0</v>
      </c>
      <c r="K39" s="11" t="str">
        <f aca="false">IF(OR(F39="",F38=""),"",IF(ABS(F39)&lt;ABS(F38),"Convergen","Divergen"))</f>
        <v>Divergen</v>
      </c>
      <c r="L39" s="17" t="n">
        <f aca="false">IF(F39="","",F39/E39)</f>
        <v>0.0298146897972722</v>
      </c>
    </row>
    <row r="40" customFormat="false" ht="15" hidden="false" customHeight="false" outlineLevel="0" collapsed="false">
      <c r="A40" s="11" t="n">
        <f aca="false">ROW()-8</f>
        <v>32</v>
      </c>
      <c r="B40" s="14" t="n">
        <f aca="false">Datos!A33</f>
        <v>45772</v>
      </c>
      <c r="C40" s="15" t="n">
        <f aca="false">Datos!B33</f>
        <v>194.98</v>
      </c>
      <c r="D40" s="16" t="n">
        <f aca="false">IF(A40&lt;N_rap,"",IF(A40=N_rap,AVERAGE($C$9:C40),a_rap*C40+(1-a_rap)*D39))</f>
        <v>176.620194375718</v>
      </c>
      <c r="E40" s="16" t="n">
        <f aca="false">IF(A40&lt;N_len,"",IF(A40=N_len,AVERAGE($C$9:C40),a_len*C40+(1-a_len)*E39))</f>
        <v>170.24413985083</v>
      </c>
      <c r="F40" s="16" t="n">
        <f aca="false">IF(E40="","",D40-E40)</f>
        <v>6.37605452488734</v>
      </c>
      <c r="G40" s="16" t="str">
        <f aca="false">IF(A40&lt;N_len+N_sen-1,"",IF(A40=N_len+N_sen-1,AVERAGE($F$9:F40),a_sen*F40+(1-a_sen)*G39))</f>
        <v/>
      </c>
      <c r="H40" s="16" t="str">
        <f aca="false">IF(G40="","",F40-G40)</f>
        <v/>
      </c>
      <c r="I40" s="11" t="str">
        <f aca="false">IF(OR(H40="",H39=""),"",IF(AND(H39&lt;=0,H40&gt;0),"Cruce alcista",IF(AND(H39&gt;=0,H40&lt;0),"Cruce bajista","")))</f>
        <v/>
      </c>
      <c r="J40" s="11" t="str">
        <f aca="false">IF(F40="","",IF(F40&gt;0,"Arriba de 0","Debajo de 0"))</f>
        <v>Arriba de 0</v>
      </c>
      <c r="K40" s="11" t="str">
        <f aca="false">IF(OR(F40="",F39=""),"",IF(ABS(F40)&lt;ABS(F39),"Convergen","Divergen"))</f>
        <v>Divergen</v>
      </c>
      <c r="L40" s="17" t="n">
        <f aca="false">IF(F40="","",F40/E40)</f>
        <v>0.0374524170433949</v>
      </c>
    </row>
    <row r="41" customFormat="false" ht="15" hidden="false" customHeight="false" outlineLevel="0" collapsed="false">
      <c r="A41" s="11" t="n">
        <f aca="false">ROW()-8</f>
        <v>33</v>
      </c>
      <c r="B41" s="14" t="n">
        <f aca="false">Datos!A34</f>
        <v>45779</v>
      </c>
      <c r="C41" s="15" t="n">
        <f aca="false">Datos!B34</f>
        <v>193.98</v>
      </c>
      <c r="D41" s="16" t="n">
        <f aca="false">IF(A41&lt;N_rap,"",IF(A41=N_rap,AVERAGE($C$9:C41),a_rap*C41+(1-a_rap)*D40))</f>
        <v>179.29093370253</v>
      </c>
      <c r="E41" s="16" t="n">
        <f aca="false">IF(A41&lt;N_len,"",IF(A41=N_len,AVERAGE($C$9:C41),a_len*C41+(1-a_len)*E40))</f>
        <v>172.002351713732</v>
      </c>
      <c r="F41" s="16" t="n">
        <f aca="false">IF(E41="","",D41-E41)</f>
        <v>7.28858198879854</v>
      </c>
      <c r="G41" s="16" t="str">
        <f aca="false">IF(A41&lt;N_len+N_sen-1,"",IF(A41=N_len+N_sen-1,AVERAGE($F$9:F41),a_sen*F41+(1-a_sen)*G40))</f>
        <v/>
      </c>
      <c r="H41" s="16" t="str">
        <f aca="false">IF(G41="","",F41-G41)</f>
        <v/>
      </c>
      <c r="I41" s="11" t="str">
        <f aca="false">IF(OR(H41="",H40=""),"",IF(AND(H40&lt;=0,H41&gt;0),"Cruce alcista",IF(AND(H40&gt;=0,H41&lt;0),"Cruce bajista","")))</f>
        <v/>
      </c>
      <c r="J41" s="11" t="str">
        <f aca="false">IF(F41="","",IF(F41&gt;0,"Arriba de 0","Debajo de 0"))</f>
        <v>Arriba de 0</v>
      </c>
      <c r="K41" s="11" t="str">
        <f aca="false">IF(OR(F41="",F40=""),"",IF(ABS(F41)&lt;ABS(F40),"Convergen","Divergen"))</f>
        <v>Divergen</v>
      </c>
      <c r="L41" s="17" t="n">
        <f aca="false">IF(F41="","",F41/E41)</f>
        <v>0.042374897297504</v>
      </c>
    </row>
    <row r="42" customFormat="false" ht="15" hidden="false" customHeight="false" outlineLevel="0" collapsed="false">
      <c r="A42" s="11" t="n">
        <f aca="false">ROW()-8</f>
        <v>34</v>
      </c>
      <c r="B42" s="14" t="n">
        <f aca="false">Datos!A35</f>
        <v>45786</v>
      </c>
      <c r="C42" s="15" t="n">
        <f aca="false">Datos!B35</f>
        <v>195.92</v>
      </c>
      <c r="D42" s="16" t="n">
        <f aca="false">IF(A42&lt;N_rap,"",IF(A42=N_rap,AVERAGE($C$9:C42),a_rap*C42+(1-a_rap)*D41))</f>
        <v>181.849251594449</v>
      </c>
      <c r="E42" s="16" t="n">
        <f aca="false">IF(A42&lt;N_len,"",IF(A42=N_len,AVERAGE($C$9:C42),a_len*C42+(1-a_len)*E41))</f>
        <v>173.774029364566</v>
      </c>
      <c r="F42" s="16" t="n">
        <f aca="false">IF(E42="","",D42-E42)</f>
        <v>8.07522222988229</v>
      </c>
      <c r="G42" s="16" t="n">
        <f aca="false">IF(A42&lt;N_len+N_sen-1,"",IF(A42=N_len+N_sen-1,AVERAGE($F$9:F42),a_sen*F42+(1-a_sen)*G41))</f>
        <v>4.15265459721285</v>
      </c>
      <c r="H42" s="16" t="n">
        <f aca="false">IF(G42="","",F42-G42)</f>
        <v>3.92256763266944</v>
      </c>
      <c r="I42" s="11" t="str">
        <f aca="false">IF(OR(H42="",H41=""),"",IF(AND(H41&lt;=0,H42&gt;0),"Cruce alcista",IF(AND(H41&gt;=0,H42&lt;0),"Cruce bajista","")))</f>
        <v/>
      </c>
      <c r="J42" s="11" t="str">
        <f aca="false">IF(F42="","",IF(F42&gt;0,"Arriba de 0","Debajo de 0"))</f>
        <v>Arriba de 0</v>
      </c>
      <c r="K42" s="11" t="str">
        <f aca="false">IF(OR(F42="",F41=""),"",IF(ABS(F42)&lt;ABS(F41),"Convergen","Divergen"))</f>
        <v>Divergen</v>
      </c>
      <c r="L42" s="17" t="n">
        <f aca="false">IF(F42="","",F42/E42)</f>
        <v>0.0464696724787396</v>
      </c>
    </row>
    <row r="43" customFormat="false" ht="15" hidden="false" customHeight="false" outlineLevel="0" collapsed="false">
      <c r="A43" s="11" t="n">
        <f aca="false">ROW()-8</f>
        <v>35</v>
      </c>
      <c r="B43" s="14" t="n">
        <f aca="false">Datos!A36</f>
        <v>45793</v>
      </c>
      <c r="C43" s="15" t="n">
        <f aca="false">Datos!B36</f>
        <v>198.99</v>
      </c>
      <c r="D43" s="16" t="n">
        <f aca="false">IF(A43&lt;N_rap,"",IF(A43=N_rap,AVERAGE($C$9:C43),a_rap*C43+(1-a_rap)*D42))</f>
        <v>184.486289810687</v>
      </c>
      <c r="E43" s="16" t="n">
        <f aca="false">IF(A43&lt;N_len,"",IF(A43=N_len,AVERAGE($C$9:C43),a_len*C43+(1-a_len)*E42))</f>
        <v>175.641879041265</v>
      </c>
      <c r="F43" s="16" t="n">
        <f aca="false">IF(E43="","",D43-E43)</f>
        <v>8.84441076942215</v>
      </c>
      <c r="G43" s="16" t="n">
        <f aca="false">IF(A43&lt;N_len+N_sen-1,"",IF(A43=N_len+N_sen-1,AVERAGE($F$9:F43),a_sen*F43+(1-a_sen)*G42))</f>
        <v>5.09100583165471</v>
      </c>
      <c r="H43" s="16" t="n">
        <f aca="false">IF(G43="","",F43-G43)</f>
        <v>3.75340493776744</v>
      </c>
      <c r="I43" s="11" t="str">
        <f aca="false">IF(OR(H43="",H42=""),"",IF(AND(H42&lt;=0,H43&gt;0),"Cruce alcista",IF(AND(H42&gt;=0,H43&lt;0),"Cruce bajista","")))</f>
        <v/>
      </c>
      <c r="J43" s="11" t="str">
        <f aca="false">IF(F43="","",IF(F43&gt;0,"Arriba de 0","Debajo de 0"))</f>
        <v>Arriba de 0</v>
      </c>
      <c r="K43" s="11" t="str">
        <f aca="false">IF(OR(F43="",F42=""),"",IF(ABS(F43)&lt;ABS(F42),"Convergen","Divergen"))</f>
        <v>Divergen</v>
      </c>
      <c r="L43" s="17" t="n">
        <f aca="false">IF(F43="","",F43/E43)</f>
        <v>0.0503547947545258</v>
      </c>
    </row>
    <row r="44" customFormat="false" ht="15" hidden="false" customHeight="false" outlineLevel="0" collapsed="false">
      <c r="A44" s="11" t="n">
        <f aca="false">ROW()-8</f>
        <v>36</v>
      </c>
      <c r="B44" s="14" t="n">
        <f aca="false">Datos!A37</f>
        <v>45800</v>
      </c>
      <c r="C44" s="15" t="n">
        <f aca="false">Datos!B37</f>
        <v>200.94</v>
      </c>
      <c r="D44" s="16" t="n">
        <f aca="false">IF(A44&lt;N_rap,"",IF(A44=N_rap,AVERAGE($C$9:C44),a_rap*C44+(1-a_rap)*D43))</f>
        <v>187.017629839812</v>
      </c>
      <c r="E44" s="16" t="n">
        <f aca="false">IF(A44&lt;N_len,"",IF(A44=N_len,AVERAGE($C$9:C44),a_len*C44+(1-a_len)*E43))</f>
        <v>177.515813927097</v>
      </c>
      <c r="F44" s="16" t="n">
        <f aca="false">IF(E44="","",D44-E44)</f>
        <v>9.50181591271493</v>
      </c>
      <c r="G44" s="16" t="n">
        <f aca="false">IF(A44&lt;N_len+N_sen-1,"",IF(A44=N_len+N_sen-1,AVERAGE($F$9:F44),a_sen*F44+(1-a_sen)*G43))</f>
        <v>5.97316784786676</v>
      </c>
      <c r="H44" s="16" t="n">
        <f aca="false">IF(G44="","",F44-G44)</f>
        <v>3.52864806484818</v>
      </c>
      <c r="I44" s="11" t="str">
        <f aca="false">IF(OR(H44="",H43=""),"",IF(AND(H43&lt;=0,H44&gt;0),"Cruce alcista",IF(AND(H43&gt;=0,H44&lt;0),"Cruce bajista","")))</f>
        <v/>
      </c>
      <c r="J44" s="11" t="str">
        <f aca="false">IF(F44="","",IF(F44&gt;0,"Arriba de 0","Debajo de 0"))</f>
        <v>Arriba de 0</v>
      </c>
      <c r="K44" s="11" t="str">
        <f aca="false">IF(OR(F44="",F43=""),"",IF(ABS(F44)&lt;ABS(F43),"Convergen","Divergen"))</f>
        <v>Divergen</v>
      </c>
      <c r="L44" s="17" t="n">
        <f aca="false">IF(F44="","",F44/E44)</f>
        <v>0.0535265884346347</v>
      </c>
    </row>
    <row r="45" customFormat="false" ht="15" hidden="false" customHeight="false" outlineLevel="0" collapsed="false">
      <c r="A45" s="11" t="n">
        <f aca="false">ROW()-8</f>
        <v>37</v>
      </c>
      <c r="B45" s="14" t="n">
        <f aca="false">Datos!A38</f>
        <v>45807</v>
      </c>
      <c r="C45" s="15" t="n">
        <f aca="false">Datos!B38</f>
        <v>208.2</v>
      </c>
      <c r="D45" s="16" t="n">
        <f aca="false">IF(A45&lt;N_rap,"",IF(A45=N_rap,AVERAGE($C$9:C45),a_rap*C45+(1-a_rap)*D44))</f>
        <v>190.276456018303</v>
      </c>
      <c r="E45" s="16" t="n">
        <f aca="false">IF(A45&lt;N_len,"",IF(A45=N_len,AVERAGE($C$9:C45),a_len*C45+(1-a_len)*E44))</f>
        <v>179.788716599164</v>
      </c>
      <c r="F45" s="16" t="n">
        <f aca="false">IF(E45="","",D45-E45)</f>
        <v>10.4877394191385</v>
      </c>
      <c r="G45" s="16" t="n">
        <f aca="false">IF(A45&lt;N_len+N_sen-1,"",IF(A45=N_len+N_sen-1,AVERAGE($F$9:F45),a_sen*F45+(1-a_sen)*G44))</f>
        <v>6.8760821621211</v>
      </c>
      <c r="H45" s="16" t="n">
        <f aca="false">IF(G45="","",F45-G45)</f>
        <v>3.61165725701738</v>
      </c>
      <c r="I45" s="11" t="str">
        <f aca="false">IF(OR(H45="",H44=""),"",IF(AND(H44&lt;=0,H45&gt;0),"Cruce alcista",IF(AND(H44&gt;=0,H45&lt;0),"Cruce bajista","")))</f>
        <v/>
      </c>
      <c r="J45" s="11" t="str">
        <f aca="false">IF(F45="","",IF(F45&gt;0,"Arriba de 0","Debajo de 0"))</f>
        <v>Arriba de 0</v>
      </c>
      <c r="K45" s="11" t="str">
        <f aca="false">IF(OR(F45="",F44=""),"",IF(ABS(F45)&lt;ABS(F44),"Convergen","Divergen"))</f>
        <v>Divergen</v>
      </c>
      <c r="L45" s="17" t="n">
        <f aca="false">IF(F45="","",F45/E45)</f>
        <v>0.0583336908874026</v>
      </c>
    </row>
    <row r="46" customFormat="false" ht="15" hidden="false" customHeight="false" outlineLevel="0" collapsed="false">
      <c r="A46" s="11" t="n">
        <f aca="false">ROW()-8</f>
        <v>38</v>
      </c>
      <c r="B46" s="14" t="n">
        <f aca="false">Datos!A39</f>
        <v>45814</v>
      </c>
      <c r="C46" s="15" t="n">
        <f aca="false">Datos!B39</f>
        <v>202.26</v>
      </c>
      <c r="D46" s="16" t="n">
        <f aca="false">IF(A46&lt;N_rap,"",IF(A46=N_rap,AVERAGE($C$9:C46),a_rap*C46+(1-a_rap)*D45))</f>
        <v>192.120078169333</v>
      </c>
      <c r="E46" s="16" t="n">
        <f aca="false">IF(A46&lt;N_len,"",IF(A46=N_len,AVERAGE($C$9:C46),a_len*C46+(1-a_len)*E45))</f>
        <v>181.453256110337</v>
      </c>
      <c r="F46" s="16" t="n">
        <f aca="false">IF(E46="","",D46-E46)</f>
        <v>10.6668220589958</v>
      </c>
      <c r="G46" s="16" t="n">
        <f aca="false">IF(A46&lt;N_len+N_sen-1,"",IF(A46=N_len+N_sen-1,AVERAGE($F$9:F46),a_sen*F46+(1-a_sen)*G45))</f>
        <v>7.63423014149604</v>
      </c>
      <c r="H46" s="16" t="n">
        <f aca="false">IF(G46="","",F46-G46)</f>
        <v>3.03259191749975</v>
      </c>
      <c r="I46" s="11" t="str">
        <f aca="false">IF(OR(H46="",H45=""),"",IF(AND(H45&lt;=0,H46&gt;0),"Cruce alcista",IF(AND(H45&gt;=0,H46&lt;0),"Cruce bajista","")))</f>
        <v/>
      </c>
      <c r="J46" s="11" t="str">
        <f aca="false">IF(F46="","",IF(F46&gt;0,"Arriba de 0","Debajo de 0"))</f>
        <v>Arriba de 0</v>
      </c>
      <c r="K46" s="11" t="str">
        <f aca="false">IF(OR(F46="",F45=""),"",IF(ABS(F46)&lt;ABS(F45),"Convergen","Divergen"))</f>
        <v>Divergen</v>
      </c>
      <c r="L46" s="17" t="n">
        <f aca="false">IF(F46="","",F46/E46)</f>
        <v>0.058785509214062</v>
      </c>
    </row>
    <row r="47" customFormat="false" ht="15" hidden="false" customHeight="false" outlineLevel="0" collapsed="false">
      <c r="A47" s="11" t="n">
        <f aca="false">ROW()-8</f>
        <v>39</v>
      </c>
      <c r="B47" s="14" t="n">
        <f aca="false">Datos!A40</f>
        <v>45821</v>
      </c>
      <c r="C47" s="15" t="n">
        <f aca="false">Datos!B40</f>
        <v>206.99</v>
      </c>
      <c r="D47" s="16" t="n">
        <f aca="false">IF(A47&lt;N_rap,"",IF(A47=N_rap,AVERAGE($C$9:C47),a_rap*C47+(1-a_rap)*D46))</f>
        <v>194.407758450974</v>
      </c>
      <c r="E47" s="16" t="n">
        <f aca="false">IF(A47&lt;N_len,"",IF(A47=N_len,AVERAGE($C$9:C47),a_len*C47+(1-a_len)*E46))</f>
        <v>183.344866768831</v>
      </c>
      <c r="F47" s="16" t="n">
        <f aca="false">IF(E47="","",D47-E47)</f>
        <v>11.0628916821433</v>
      </c>
      <c r="G47" s="16" t="n">
        <f aca="false">IF(A47&lt;N_len+N_sen-1,"",IF(A47=N_len+N_sen-1,AVERAGE($F$9:F47),a_sen*F47+(1-a_sen)*G46))</f>
        <v>8.31996244962549</v>
      </c>
      <c r="H47" s="16" t="n">
        <f aca="false">IF(G47="","",F47-G47)</f>
        <v>2.74292923251782</v>
      </c>
      <c r="I47" s="11" t="str">
        <f aca="false">IF(OR(H47="",H46=""),"",IF(AND(H46&lt;=0,H47&gt;0),"Cruce alcista",IF(AND(H46&gt;=0,H47&lt;0),"Cruce bajista","")))</f>
        <v/>
      </c>
      <c r="J47" s="11" t="str">
        <f aca="false">IF(F47="","",IF(F47&gt;0,"Arriba de 0","Debajo de 0"))</f>
        <v>Arriba de 0</v>
      </c>
      <c r="K47" s="11" t="str">
        <f aca="false">IF(OR(F47="",F46=""),"",IF(ABS(F47)&lt;ABS(F46),"Convergen","Divergen"))</f>
        <v>Divergen</v>
      </c>
      <c r="L47" s="17" t="n">
        <f aca="false">IF(F47="","",F47/E47)</f>
        <v>0.0603392496179993</v>
      </c>
    </row>
    <row r="48" customFormat="false" ht="15" hidden="false" customHeight="false" outlineLevel="0" collapsed="false">
      <c r="A48" s="11" t="n">
        <f aca="false">ROW()-8</f>
        <v>40</v>
      </c>
      <c r="B48" s="14" t="n">
        <f aca="false">Datos!A41</f>
        <v>45828</v>
      </c>
      <c r="C48" s="15" t="n">
        <f aca="false">Datos!B41</f>
        <v>208.88</v>
      </c>
      <c r="D48" s="16" t="n">
        <f aca="false">IF(A48&lt;N_rap,"",IF(A48=N_rap,AVERAGE($C$9:C48),a_rap*C48+(1-a_rap)*D47))</f>
        <v>196.634257150824</v>
      </c>
      <c r="E48" s="16" t="n">
        <f aca="false">IF(A48&lt;N_len,"",IF(A48=N_len,AVERAGE($C$9:C48),a_len*C48+(1-a_len)*E47))</f>
        <v>185.236358119288</v>
      </c>
      <c r="F48" s="16" t="n">
        <f aca="false">IF(E48="","",D48-E48)</f>
        <v>11.3978990315365</v>
      </c>
      <c r="G48" s="16" t="n">
        <f aca="false">IF(A48&lt;N_len+N_sen-1,"",IF(A48=N_len+N_sen-1,AVERAGE($F$9:F48),a_sen*F48+(1-a_sen)*G47))</f>
        <v>8.9355497660077</v>
      </c>
      <c r="H48" s="16" t="n">
        <f aca="false">IF(G48="","",F48-G48)</f>
        <v>2.4623492655288</v>
      </c>
      <c r="I48" s="11" t="str">
        <f aca="false">IF(OR(H48="",H47=""),"",IF(AND(H47&lt;=0,H48&gt;0),"Cruce alcista",IF(AND(H47&gt;=0,H48&lt;0),"Cruce bajista","")))</f>
        <v/>
      </c>
      <c r="J48" s="11" t="str">
        <f aca="false">IF(F48="","",IF(F48&gt;0,"Arriba de 0","Debajo de 0"))</f>
        <v>Arriba de 0</v>
      </c>
      <c r="K48" s="11" t="str">
        <f aca="false">IF(OR(F48="",F47=""),"",IF(ABS(F48)&lt;ABS(F47),"Convergen","Divergen"))</f>
        <v>Divergen</v>
      </c>
      <c r="L48" s="17" t="n">
        <f aca="false">IF(F48="","",F48/E48)</f>
        <v>0.061531651492503</v>
      </c>
    </row>
    <row r="49" customFormat="false" ht="15" hidden="false" customHeight="false" outlineLevel="0" collapsed="false">
      <c r="A49" s="11" t="n">
        <f aca="false">ROW()-8</f>
        <v>41</v>
      </c>
      <c r="B49" s="14" t="n">
        <f aca="false">Datos!A42</f>
        <v>45835</v>
      </c>
      <c r="C49" s="15" t="n">
        <f aca="false">Datos!B42</f>
        <v>210.21</v>
      </c>
      <c r="D49" s="16" t="n">
        <f aca="false">IF(A49&lt;N_rap,"",IF(A49=N_rap,AVERAGE($C$9:C49),a_rap*C49+(1-a_rap)*D48))</f>
        <v>198.722832973774</v>
      </c>
      <c r="E49" s="16" t="n">
        <f aca="false">IF(A49&lt;N_len,"",IF(A49=N_len,AVERAGE($C$9:C49),a_len*C49+(1-a_len)*E48))</f>
        <v>187.086257517859</v>
      </c>
      <c r="F49" s="16" t="n">
        <f aca="false">IF(E49="","",D49-E49)</f>
        <v>11.6365754559153</v>
      </c>
      <c r="G49" s="16" t="n">
        <f aca="false">IF(A49&lt;N_len+N_sen-1,"",IF(A49=N_len+N_sen-1,AVERAGE($F$9:F49),a_sen*F49+(1-a_sen)*G48))</f>
        <v>9.47575490398922</v>
      </c>
      <c r="H49" s="16" t="n">
        <f aca="false">IF(G49="","",F49-G49)</f>
        <v>2.16082055192609</v>
      </c>
      <c r="I49" s="11" t="str">
        <f aca="false">IF(OR(H49="",H48=""),"",IF(AND(H48&lt;=0,H49&gt;0),"Cruce alcista",IF(AND(H48&gt;=0,H49&lt;0),"Cruce bajista","")))</f>
        <v/>
      </c>
      <c r="J49" s="11" t="str">
        <f aca="false">IF(F49="","",IF(F49&gt;0,"Arriba de 0","Debajo de 0"))</f>
        <v>Arriba de 0</v>
      </c>
      <c r="K49" s="11" t="str">
        <f aca="false">IF(OR(F49="",F48=""),"",IF(ABS(F49)&lt;ABS(F48),"Convergen","Divergen"))</f>
        <v>Divergen</v>
      </c>
      <c r="L49" s="17" t="n">
        <f aca="false">IF(F49="","",F49/E49)</f>
        <v>0.0621989856994413</v>
      </c>
    </row>
    <row r="50" customFormat="false" ht="15" hidden="false" customHeight="false" outlineLevel="0" collapsed="false">
      <c r="A50" s="11" t="n">
        <f aca="false">ROW()-8</f>
        <v>42</v>
      </c>
      <c r="B50" s="14" t="n">
        <f aca="false">Datos!A43</f>
        <v>45842</v>
      </c>
      <c r="C50" s="15" t="n">
        <f aca="false">Datos!B43</f>
        <v>215.78</v>
      </c>
      <c r="D50" s="16" t="n">
        <f aca="false">IF(A50&lt;N_rap,"",IF(A50=N_rap,AVERAGE($C$9:C50),a_rap*C50+(1-a_rap)*D49))</f>
        <v>201.347012516271</v>
      </c>
      <c r="E50" s="16" t="n">
        <f aca="false">IF(A50&lt;N_len,"",IF(A50=N_len,AVERAGE($C$9:C50),a_len*C50+(1-a_len)*E49))</f>
        <v>189.211719923944</v>
      </c>
      <c r="F50" s="16" t="n">
        <f aca="false">IF(E50="","",D50-E50)</f>
        <v>12.135292592327</v>
      </c>
      <c r="G50" s="16" t="n">
        <f aca="false">IF(A50&lt;N_len+N_sen-1,"",IF(A50=N_len+N_sen-1,AVERAGE($F$9:F50),a_sen*F50+(1-a_sen)*G49))</f>
        <v>10.0076624416568</v>
      </c>
      <c r="H50" s="16" t="n">
        <f aca="false">IF(G50="","",F50-G50)</f>
        <v>2.12763015067025</v>
      </c>
      <c r="I50" s="11" t="str">
        <f aca="false">IF(OR(H50="",H49=""),"",IF(AND(H49&lt;=0,H50&gt;0),"Cruce alcista",IF(AND(H49&gt;=0,H50&lt;0),"Cruce bajista","")))</f>
        <v/>
      </c>
      <c r="J50" s="11" t="str">
        <f aca="false">IF(F50="","",IF(F50&gt;0,"Arriba de 0","Debajo de 0"))</f>
        <v>Arriba de 0</v>
      </c>
      <c r="K50" s="11" t="str">
        <f aca="false">IF(OR(F50="",F49=""),"",IF(ABS(F50)&lt;ABS(F49),"Convergen","Divergen"))</f>
        <v>Divergen</v>
      </c>
      <c r="L50" s="17" t="n">
        <f aca="false">IF(F50="","",F50/E50)</f>
        <v>0.0641360513883865</v>
      </c>
    </row>
    <row r="51" customFormat="false" ht="15" hidden="false" customHeight="false" outlineLevel="0" collapsed="false">
      <c r="A51" s="11" t="n">
        <f aca="false">ROW()-8</f>
        <v>43</v>
      </c>
      <c r="B51" s="14" t="n">
        <f aca="false">Datos!A44</f>
        <v>45849</v>
      </c>
      <c r="C51" s="15" t="n">
        <f aca="false">Datos!B44</f>
        <v>215.34</v>
      </c>
      <c r="D51" s="16" t="n">
        <f aca="false">IF(A51&lt;N_rap,"",IF(A51=N_rap,AVERAGE($C$9:C51),a_rap*C51+(1-a_rap)*D50))</f>
        <v>203.49977982146</v>
      </c>
      <c r="E51" s="16" t="n">
        <f aca="false">IF(A51&lt;N_len,"",IF(A51=N_len,AVERAGE($C$9:C51),a_len*C51+(1-a_len)*E50))</f>
        <v>191.147148077726</v>
      </c>
      <c r="F51" s="16" t="n">
        <f aca="false">IF(E51="","",D51-E51)</f>
        <v>12.3526317437342</v>
      </c>
      <c r="G51" s="16" t="n">
        <f aca="false">IF(A51&lt;N_len+N_sen-1,"",IF(A51=N_len+N_sen-1,AVERAGE($F$9:F51),a_sen*F51+(1-a_sen)*G50))</f>
        <v>10.4766563020723</v>
      </c>
      <c r="H51" s="16" t="n">
        <f aca="false">IF(G51="","",F51-G51)</f>
        <v>1.87597544166194</v>
      </c>
      <c r="I51" s="11" t="str">
        <f aca="false">IF(OR(H51="",H50=""),"",IF(AND(H50&lt;=0,H51&gt;0),"Cruce alcista",IF(AND(H50&gt;=0,H51&lt;0),"Cruce bajista","")))</f>
        <v/>
      </c>
      <c r="J51" s="11" t="str">
        <f aca="false">IF(F51="","",IF(F51&gt;0,"Arriba de 0","Debajo de 0"))</f>
        <v>Arriba de 0</v>
      </c>
      <c r="K51" s="11" t="str">
        <f aca="false">IF(OR(F51="",F50=""),"",IF(ABS(F51)&lt;ABS(F50),"Convergen","Divergen"))</f>
        <v>Divergen</v>
      </c>
      <c r="L51" s="17" t="n">
        <f aca="false">IF(F51="","",F51/E51)</f>
        <v>0.0646236779777185</v>
      </c>
    </row>
    <row r="52" customFormat="false" ht="15" hidden="false" customHeight="false" outlineLevel="0" collapsed="false">
      <c r="A52" s="11" t="n">
        <f aca="false">ROW()-8</f>
        <v>44</v>
      </c>
      <c r="B52" s="14" t="n">
        <f aca="false">Datos!A45</f>
        <v>45856</v>
      </c>
      <c r="C52" s="15" t="n">
        <f aca="false">Datos!B45</f>
        <v>208.66</v>
      </c>
      <c r="D52" s="16" t="n">
        <f aca="false">IF(A52&lt;N_rap,"",IF(A52=N_rap,AVERAGE($C$9:C52),a_rap*C52+(1-a_rap)*D51))</f>
        <v>204.293659848928</v>
      </c>
      <c r="E52" s="16" t="n">
        <f aca="false">IF(A52&lt;N_len,"",IF(A52=N_len,AVERAGE($C$9:C52),a_len*C52+(1-a_len)*E51))</f>
        <v>192.444396368264</v>
      </c>
      <c r="F52" s="16" t="n">
        <f aca="false">IF(E52="","",D52-E52)</f>
        <v>11.8492634806631</v>
      </c>
      <c r="G52" s="16" t="n">
        <f aca="false">IF(A52&lt;N_len+N_sen-1,"",IF(A52=N_len+N_sen-1,AVERAGE($F$9:F52),a_sen*F52+(1-a_sen)*G51))</f>
        <v>10.7511777377904</v>
      </c>
      <c r="H52" s="16" t="n">
        <f aca="false">IF(G52="","",F52-G52)</f>
        <v>1.09808574287266</v>
      </c>
      <c r="I52" s="11" t="str">
        <f aca="false">IF(OR(H52="",H51=""),"",IF(AND(H51&lt;=0,H52&gt;0),"Cruce alcista",IF(AND(H51&gt;=0,H52&lt;0),"Cruce bajista","")))</f>
        <v/>
      </c>
      <c r="J52" s="11" t="str">
        <f aca="false">IF(F52="","",IF(F52&gt;0,"Arriba de 0","Debajo de 0"))</f>
        <v>Arriba de 0</v>
      </c>
      <c r="K52" s="11" t="str">
        <f aca="false">IF(OR(F52="",F51=""),"",IF(ABS(F52)&lt;ABS(F51),"Convergen","Divergen"))</f>
        <v>Convergen</v>
      </c>
      <c r="L52" s="17" t="n">
        <f aca="false">IF(F52="","",F52/E52)</f>
        <v>0.0615724006740533</v>
      </c>
    </row>
    <row r="53" customFormat="false" ht="15" hidden="false" customHeight="false" outlineLevel="0" collapsed="false">
      <c r="A53" s="11" t="n">
        <f aca="false">ROW()-8</f>
        <v>45</v>
      </c>
      <c r="B53" s="14" t="n">
        <f aca="false">Datos!A46</f>
        <v>45863</v>
      </c>
      <c r="C53" s="15" t="n">
        <f aca="false">Datos!B46</f>
        <v>206.67</v>
      </c>
      <c r="D53" s="16" t="n">
        <f aca="false">IF(A53&lt;N_rap,"",IF(A53=N_rap,AVERAGE($C$9:C53),a_rap*C53+(1-a_rap)*D52))</f>
        <v>204.6592506414</v>
      </c>
      <c r="E53" s="16" t="n">
        <f aca="false">IF(A53&lt;N_len,"",IF(A53=N_len,AVERAGE($C$9:C53),a_len*C53+(1-a_len)*E52))</f>
        <v>193.49814478543</v>
      </c>
      <c r="F53" s="16" t="n">
        <f aca="false">IF(E53="","",D53-E53)</f>
        <v>11.1611058559702</v>
      </c>
      <c r="G53" s="16" t="n">
        <f aca="false">IF(A53&lt;N_len+N_sen-1,"",IF(A53=N_len+N_sen-1,AVERAGE($F$9:F53),a_sen*F53+(1-a_sen)*G52))</f>
        <v>10.8331633614264</v>
      </c>
      <c r="H53" s="16" t="n">
        <f aca="false">IF(G53="","",F53-G53)</f>
        <v>0.327942494543805</v>
      </c>
      <c r="I53" s="11" t="str">
        <f aca="false">IF(OR(H53="",H52=""),"",IF(AND(H52&lt;=0,H53&gt;0),"Cruce alcista",IF(AND(H52&gt;=0,H53&lt;0),"Cruce bajista","")))</f>
        <v/>
      </c>
      <c r="J53" s="11" t="str">
        <f aca="false">IF(F53="","",IF(F53&gt;0,"Arriba de 0","Debajo de 0"))</f>
        <v>Arriba de 0</v>
      </c>
      <c r="K53" s="11" t="str">
        <f aca="false">IF(OR(F53="",F52=""),"",IF(ABS(F53)&lt;ABS(F52),"Convergen","Divergen"))</f>
        <v>Convergen</v>
      </c>
      <c r="L53" s="17" t="n">
        <f aca="false">IF(F53="","",F53/E53)</f>
        <v>0.0576806866461006</v>
      </c>
    </row>
    <row r="54" customFormat="false" ht="15" hidden="false" customHeight="false" outlineLevel="0" collapsed="false">
      <c r="A54" s="11" t="n">
        <f aca="false">ROW()-8</f>
        <v>46</v>
      </c>
      <c r="B54" s="14" t="n">
        <f aca="false">Datos!A47</f>
        <v>45870</v>
      </c>
      <c r="C54" s="15" t="n">
        <f aca="false">Datos!B47</f>
        <v>208.54</v>
      </c>
      <c r="D54" s="16" t="n">
        <f aca="false">IF(A54&lt;N_rap,"",IF(A54=N_rap,AVERAGE($C$9:C54),a_rap*C54+(1-a_rap)*D53))</f>
        <v>205.256289004262</v>
      </c>
      <c r="E54" s="16" t="n">
        <f aca="false">IF(A54&lt;N_len,"",IF(A54=N_len,AVERAGE($C$9:C54),a_len*C54+(1-a_len)*E53))</f>
        <v>194.612356282806</v>
      </c>
      <c r="F54" s="16" t="n">
        <f aca="false">IF(E54="","",D54-E54)</f>
        <v>10.6439327214561</v>
      </c>
      <c r="G54" s="16" t="n">
        <f aca="false">IF(A54&lt;N_len+N_sen-1,"",IF(A54=N_len+N_sen-1,AVERAGE($F$9:F54),a_sen*F54+(1-a_sen)*G53))</f>
        <v>10.7953172334323</v>
      </c>
      <c r="H54" s="16" t="n">
        <f aca="false">IF(G54="","",F54-G54)</f>
        <v>-0.1513845119762</v>
      </c>
      <c r="I54" s="11" t="str">
        <f aca="false">IF(OR(H54="",H53=""),"",IF(AND(H53&lt;=0,H54&gt;0),"Cruce alcista",IF(AND(H53&gt;=0,H54&lt;0),"Cruce bajista","")))</f>
        <v>Cruce bajista</v>
      </c>
      <c r="J54" s="11" t="str">
        <f aca="false">IF(F54="","",IF(F54&gt;0,"Arriba de 0","Debajo de 0"))</f>
        <v>Arriba de 0</v>
      </c>
      <c r="K54" s="11" t="str">
        <f aca="false">IF(OR(F54="",F53=""),"",IF(ABS(F54)&lt;ABS(F53),"Convergen","Divergen"))</f>
        <v>Convergen</v>
      </c>
      <c r="L54" s="17" t="n">
        <f aca="false">IF(F54="","",F54/E54)</f>
        <v>0.0546929954744942</v>
      </c>
    </row>
    <row r="55" customFormat="false" ht="15" hidden="false" customHeight="false" outlineLevel="0" collapsed="false">
      <c r="A55" s="11" t="n">
        <f aca="false">ROW()-8</f>
        <v>47</v>
      </c>
      <c r="B55" s="14" t="n">
        <f aca="false">Datos!A48</f>
        <v>45877</v>
      </c>
      <c r="C55" s="15" t="n">
        <f aca="false">Datos!B48</f>
        <v>212</v>
      </c>
      <c r="D55" s="16" t="n">
        <f aca="false">IF(A55&lt;N_rap,"",IF(A55=N_rap,AVERAGE($C$9:C55),a_rap*C55+(1-a_rap)*D54))</f>
        <v>206.293783003606</v>
      </c>
      <c r="E55" s="16" t="n">
        <f aca="false">IF(A55&lt;N_len,"",IF(A55=N_len,AVERAGE($C$9:C55),a_len*C55+(1-a_len)*E54))</f>
        <v>195.900329891487</v>
      </c>
      <c r="F55" s="16" t="n">
        <f aca="false">IF(E55="","",D55-E55)</f>
        <v>10.3934531121194</v>
      </c>
      <c r="G55" s="16" t="n">
        <f aca="false">IF(A55&lt;N_len+N_sen-1,"",IF(A55=N_len+N_sen-1,AVERAGE($F$9:F55),a_sen*F55+(1-a_sen)*G54))</f>
        <v>10.7149444091698</v>
      </c>
      <c r="H55" s="16" t="n">
        <f aca="false">IF(G55="","",F55-G55)</f>
        <v>-0.321491297050327</v>
      </c>
      <c r="I55" s="11" t="str">
        <f aca="false">IF(OR(H55="",H54=""),"",IF(AND(H54&lt;=0,H55&gt;0),"Cruce alcista",IF(AND(H54&gt;=0,H55&lt;0),"Cruce bajista","")))</f>
        <v/>
      </c>
      <c r="J55" s="11" t="str">
        <f aca="false">IF(F55="","",IF(F55&gt;0,"Arriba de 0","Debajo de 0"))</f>
        <v>Arriba de 0</v>
      </c>
      <c r="K55" s="11" t="str">
        <f aca="false">IF(OR(F55="",F54=""),"",IF(ABS(F55)&lt;ABS(F54),"Convergen","Divergen"))</f>
        <v>Convergen</v>
      </c>
      <c r="L55" s="17" t="n">
        <f aca="false">IF(F55="","",F55/E55)</f>
        <v>0.0530548014792858</v>
      </c>
    </row>
    <row r="56" customFormat="false" ht="15" hidden="false" customHeight="false" outlineLevel="0" collapsed="false">
      <c r="A56" s="11" t="n">
        <f aca="false">ROW()-8</f>
        <v>48</v>
      </c>
      <c r="B56" s="14" t="n">
        <f aca="false">Datos!A49</f>
        <v>45884</v>
      </c>
      <c r="C56" s="15" t="n">
        <f aca="false">Datos!B49</f>
        <v>211.98</v>
      </c>
      <c r="D56" s="16" t="n">
        <f aca="false">IF(A56&lt;N_rap,"",IF(A56=N_rap,AVERAGE($C$9:C56),a_rap*C56+(1-a_rap)*D55))</f>
        <v>207.168585618436</v>
      </c>
      <c r="E56" s="16" t="n">
        <f aca="false">IF(A56&lt;N_len,"",IF(A56=N_len,AVERAGE($C$9:C56),a_len*C56+(1-a_len)*E55))</f>
        <v>197.091416566191</v>
      </c>
      <c r="F56" s="16" t="n">
        <f aca="false">IF(E56="","",D56-E56)</f>
        <v>10.0771690522446</v>
      </c>
      <c r="G56" s="16" t="n">
        <f aca="false">IF(A56&lt;N_len+N_sen-1,"",IF(A56=N_len+N_sen-1,AVERAGE($F$9:F56),a_sen*F56+(1-a_sen)*G55))</f>
        <v>10.5873893377847</v>
      </c>
      <c r="H56" s="16" t="n">
        <f aca="false">IF(G56="","",F56-G56)</f>
        <v>-0.510220285540139</v>
      </c>
      <c r="I56" s="11" t="str">
        <f aca="false">IF(OR(H56="",H55=""),"",IF(AND(H55&lt;=0,H56&gt;0),"Cruce alcista",IF(AND(H55&gt;=0,H56&lt;0),"Cruce bajista","")))</f>
        <v/>
      </c>
      <c r="J56" s="11" t="str">
        <f aca="false">IF(F56="","",IF(F56&gt;0,"Arriba de 0","Debajo de 0"))</f>
        <v>Arriba de 0</v>
      </c>
      <c r="K56" s="11" t="str">
        <f aca="false">IF(OR(F56="",F55=""),"",IF(ABS(F56)&lt;ABS(F55),"Convergen","Divergen"))</f>
        <v>Convergen</v>
      </c>
      <c r="L56" s="17" t="n">
        <f aca="false">IF(F56="","",F56/E56)</f>
        <v>0.0511294161248278</v>
      </c>
    </row>
    <row r="57" customFormat="false" ht="15" hidden="false" customHeight="false" outlineLevel="0" collapsed="false">
      <c r="A57" s="11" t="n">
        <f aca="false">ROW()-8</f>
        <v>49</v>
      </c>
      <c r="B57" s="14" t="n">
        <f aca="false">Datos!A50</f>
        <v>45891</v>
      </c>
      <c r="C57" s="15" t="n">
        <f aca="false">Datos!B50</f>
        <v>222</v>
      </c>
      <c r="D57" s="16" t="n">
        <f aca="false">IF(A57&lt;N_rap,"",IF(A57=N_rap,AVERAGE($C$9:C57),a_rap*C57+(1-a_rap)*D56))</f>
        <v>209.450341677138</v>
      </c>
      <c r="E57" s="16" t="n">
        <f aca="false">IF(A57&lt;N_len,"",IF(A57=N_len,AVERAGE($C$9:C57),a_len*C57+(1-a_len)*E56))</f>
        <v>198.936496820548</v>
      </c>
      <c r="F57" s="16" t="n">
        <f aca="false">IF(E57="","",D57-E57)</f>
        <v>10.5138448565906</v>
      </c>
      <c r="G57" s="16" t="n">
        <f aca="false">IF(A57&lt;N_len+N_sen-1,"",IF(A57=N_len+N_sen-1,AVERAGE($F$9:F57),a_sen*F57+(1-a_sen)*G56))</f>
        <v>10.5726804415459</v>
      </c>
      <c r="H57" s="16" t="n">
        <f aca="false">IF(G57="","",F57-G57)</f>
        <v>-0.058835584955327</v>
      </c>
      <c r="I57" s="11" t="str">
        <f aca="false">IF(OR(H57="",H56=""),"",IF(AND(H56&lt;=0,H57&gt;0),"Cruce alcista",IF(AND(H56&gt;=0,H57&lt;0),"Cruce bajista","")))</f>
        <v/>
      </c>
      <c r="J57" s="11" t="str">
        <f aca="false">IF(F57="","",IF(F57&gt;0,"Arriba de 0","Debajo de 0"))</f>
        <v>Arriba de 0</v>
      </c>
      <c r="K57" s="11" t="str">
        <f aca="false">IF(OR(F57="",F56=""),"",IF(ABS(F57)&lt;ABS(F56),"Convergen","Divergen"))</f>
        <v>Divergen</v>
      </c>
      <c r="L57" s="17" t="n">
        <f aca="false">IF(F57="","",F57/E57)</f>
        <v>0.0528502563613286</v>
      </c>
    </row>
    <row r="58" customFormat="false" ht="15" hidden="false" customHeight="false" outlineLevel="0" collapsed="false">
      <c r="A58" s="11" t="n">
        <f aca="false">ROW()-8</f>
        <v>50</v>
      </c>
      <c r="B58" s="14" t="n">
        <f aca="false">Datos!A51</f>
        <v>45898</v>
      </c>
      <c r="C58" s="15" t="n">
        <f aca="false">Datos!B51</f>
        <v>227.24</v>
      </c>
      <c r="D58" s="16" t="n">
        <f aca="false">IF(A58&lt;N_rap,"",IF(A58=N_rap,AVERAGE($C$9:C58),a_rap*C58+(1-a_rap)*D57))</f>
        <v>212.187212188348</v>
      </c>
      <c r="E58" s="16" t="n">
        <f aca="false">IF(A58&lt;N_len,"",IF(A58=N_len,AVERAGE($C$9:C58),a_len*C58+(1-a_len)*E57))</f>
        <v>201.033052611618</v>
      </c>
      <c r="F58" s="16" t="n">
        <f aca="false">IF(E58="","",D58-E58)</f>
        <v>11.1541595767295</v>
      </c>
      <c r="G58" s="16" t="n">
        <f aca="false">IF(A58&lt;N_len+N_sen-1,"",IF(A58=N_len+N_sen-1,AVERAGE($F$9:F58),a_sen*F58+(1-a_sen)*G57))</f>
        <v>10.6889762685826</v>
      </c>
      <c r="H58" s="16" t="n">
        <f aca="false">IF(G58="","",F58-G58)</f>
        <v>0.465183308146917</v>
      </c>
      <c r="I58" s="11" t="str">
        <f aca="false">IF(OR(H58="",H57=""),"",IF(AND(H57&lt;=0,H58&gt;0),"Cruce alcista",IF(AND(H57&gt;=0,H58&lt;0),"Cruce bajista","")))</f>
        <v>Cruce alcista</v>
      </c>
      <c r="J58" s="11" t="str">
        <f aca="false">IF(F58="","",IF(F58&gt;0,"Arriba de 0","Debajo de 0"))</f>
        <v>Arriba de 0</v>
      </c>
      <c r="K58" s="11" t="str">
        <f aca="false">IF(OR(F58="",F57=""),"",IF(ABS(F58)&lt;ABS(F57),"Convergen","Divergen"))</f>
        <v>Divergen</v>
      </c>
      <c r="L58" s="17" t="n">
        <f aca="false">IF(F58="","",F58/E58)</f>
        <v>0.0554842073570788</v>
      </c>
    </row>
    <row r="59" customFormat="false" ht="15" hidden="false" customHeight="false" outlineLevel="0" collapsed="false">
      <c r="A59" s="11" t="n">
        <f aca="false">ROW()-8</f>
        <v>51</v>
      </c>
      <c r="B59" s="14" t="n">
        <f aca="false">Datos!A52</f>
        <v>45905</v>
      </c>
      <c r="C59" s="15" t="n">
        <f aca="false">Datos!B52</f>
        <v>220.26</v>
      </c>
      <c r="D59" s="16" t="n">
        <f aca="false">IF(A59&lt;N_rap,"",IF(A59=N_rap,AVERAGE($C$9:C59),a_rap*C59+(1-a_rap)*D58))</f>
        <v>213.429179543986</v>
      </c>
      <c r="E59" s="16" t="n">
        <f aca="false">IF(A59&lt;N_len,"",IF(A59=N_len,AVERAGE($C$9:C59),a_len*C59+(1-a_len)*E58))</f>
        <v>202.457270936683</v>
      </c>
      <c r="F59" s="16" t="n">
        <f aca="false">IF(E59="","",D59-E59)</f>
        <v>10.971908607303</v>
      </c>
      <c r="G59" s="16" t="n">
        <f aca="false">IF(A59&lt;N_len+N_sen-1,"",IF(A59=N_len+N_sen-1,AVERAGE($F$9:F59),a_sen*F59+(1-a_sen)*G58))</f>
        <v>10.7455627363267</v>
      </c>
      <c r="H59" s="16" t="n">
        <f aca="false">IF(G59="","",F59-G59)</f>
        <v>0.226345870976317</v>
      </c>
      <c r="I59" s="11" t="str">
        <f aca="false">IF(OR(H59="",H58=""),"",IF(AND(H58&lt;=0,H59&gt;0),"Cruce alcista",IF(AND(H58&gt;=0,H59&lt;0),"Cruce bajista","")))</f>
        <v/>
      </c>
      <c r="J59" s="11" t="str">
        <f aca="false">IF(F59="","",IF(F59&gt;0,"Arriba de 0","Debajo de 0"))</f>
        <v>Arriba de 0</v>
      </c>
      <c r="K59" s="11" t="str">
        <f aca="false">IF(OR(F59="",F58=""),"",IF(ABS(F59)&lt;ABS(F58),"Convergen","Divergen"))</f>
        <v>Convergen</v>
      </c>
      <c r="L59" s="17" t="n">
        <f aca="false">IF(F59="","",F59/E59)</f>
        <v>0.0541937000165056</v>
      </c>
    </row>
    <row r="60" customFormat="false" ht="15" hidden="false" customHeight="false" outlineLevel="0" collapsed="false">
      <c r="A60" s="11" t="n">
        <f aca="false">ROW()-8</f>
        <v>52</v>
      </c>
      <c r="B60" s="14" t="n">
        <f aca="false">Datos!A53</f>
        <v>45912</v>
      </c>
      <c r="C60" s="15" t="n">
        <f aca="false">Datos!B53</f>
        <v>218.31</v>
      </c>
      <c r="D60" s="16" t="n">
        <f aca="false">IF(A60&lt;N_rap,"",IF(A60=N_rap,AVERAGE($C$9:C60),a_rap*C60+(1-a_rap)*D59))</f>
        <v>214.180074998758</v>
      </c>
      <c r="E60" s="16" t="n">
        <f aca="false">IF(A60&lt;N_len,"",IF(A60=N_len,AVERAGE($C$9:C60),a_len*C60+(1-a_len)*E59))</f>
        <v>203.631547163596</v>
      </c>
      <c r="F60" s="16" t="n">
        <f aca="false">IF(E60="","",D60-E60)</f>
        <v>10.548527835162</v>
      </c>
      <c r="G60" s="16" t="n">
        <f aca="false">IF(A60&lt;N_len+N_sen-1,"",IF(A60=N_len+N_sen-1,AVERAGE($F$9:F60),a_sen*F60+(1-a_sen)*G59))</f>
        <v>10.7061557560938</v>
      </c>
      <c r="H60" s="16" t="n">
        <f aca="false">IF(G60="","",F60-G60)</f>
        <v>-0.15762792093177</v>
      </c>
      <c r="I60" s="11" t="str">
        <f aca="false">IF(OR(H60="",H59=""),"",IF(AND(H59&lt;=0,H60&gt;0),"Cruce alcista",IF(AND(H59&gt;=0,H60&lt;0),"Cruce bajista","")))</f>
        <v>Cruce bajista</v>
      </c>
      <c r="J60" s="11" t="str">
        <f aca="false">IF(F60="","",IF(F60&gt;0,"Arriba de 0","Debajo de 0"))</f>
        <v>Arriba de 0</v>
      </c>
      <c r="K60" s="11" t="str">
        <f aca="false">IF(OR(F60="",F59=""),"",IF(ABS(F60)&lt;ABS(F59),"Convergen","Divergen"))</f>
        <v>Convergen</v>
      </c>
      <c r="L60" s="17" t="n">
        <f aca="false">IF(F60="","",F60/E60)</f>
        <v>0.0518020315716965</v>
      </c>
    </row>
    <row r="61" customFormat="false" ht="15" hidden="false" customHeight="false" outlineLevel="0" collapsed="false">
      <c r="A61" s="11" t="n">
        <f aca="false">ROW()-8</f>
        <v>53</v>
      </c>
      <c r="B61" s="14" t="n">
        <f aca="false">Datos!A54</f>
        <v>45919</v>
      </c>
      <c r="C61" s="15" t="n">
        <f aca="false">Datos!B54</f>
        <v>228.09</v>
      </c>
      <c r="D61" s="16" t="n">
        <f aca="false">IF(A61&lt;N_rap,"",IF(A61=N_rap,AVERAGE($C$9:C61),a_rap*C61+(1-a_rap)*D60))</f>
        <v>216.320063460487</v>
      </c>
      <c r="E61" s="16" t="n">
        <f aca="false">IF(A61&lt;N_len,"",IF(A61=N_len,AVERAGE($C$9:C61),a_len*C61+(1-a_len)*E60))</f>
        <v>205.443284410737</v>
      </c>
      <c r="F61" s="16" t="n">
        <f aca="false">IF(E61="","",D61-E61)</f>
        <v>10.8767790497505</v>
      </c>
      <c r="G61" s="16" t="n">
        <f aca="false">IF(A61&lt;N_len+N_sen-1,"",IF(A61=N_len+N_sen-1,AVERAGE($F$9:F61),a_sen*F61+(1-a_sen)*G60))</f>
        <v>10.7402804148251</v>
      </c>
      <c r="H61" s="16" t="n">
        <f aca="false">IF(G61="","",F61-G61)</f>
        <v>0.136498634925411</v>
      </c>
      <c r="I61" s="11" t="str">
        <f aca="false">IF(OR(H61="",H60=""),"",IF(AND(H60&lt;=0,H61&gt;0),"Cruce alcista",IF(AND(H60&gt;=0,H61&lt;0),"Cruce bajista","")))</f>
        <v>Cruce alcista</v>
      </c>
      <c r="J61" s="11" t="str">
        <f aca="false">IF(F61="","",IF(F61&gt;0,"Arriba de 0","Debajo de 0"))</f>
        <v>Arriba de 0</v>
      </c>
      <c r="K61" s="11" t="str">
        <f aca="false">IF(OR(F61="",F60=""),"",IF(ABS(F61)&lt;ABS(F60),"Convergen","Divergen"))</f>
        <v>Divergen</v>
      </c>
      <c r="L61" s="17" t="n">
        <f aca="false">IF(F61="","",F61/E61)</f>
        <v>0.0529429768461299</v>
      </c>
    </row>
    <row r="62" customFormat="false" ht="15" hidden="false" customHeight="false" outlineLevel="0" collapsed="false">
      <c r="A62" s="11" t="n">
        <f aca="false">ROW()-8</f>
        <v>54</v>
      </c>
      <c r="B62" s="14" t="n">
        <f aca="false">Datos!A55</f>
        <v>45926</v>
      </c>
      <c r="C62" s="15" t="n">
        <f aca="false">Datos!B55</f>
        <v>226.09</v>
      </c>
      <c r="D62" s="16" t="n">
        <f aca="false">IF(A62&lt;N_rap,"",IF(A62=N_rap,AVERAGE($C$9:C62),a_rap*C62+(1-a_rap)*D61))</f>
        <v>217.823130620412</v>
      </c>
      <c r="E62" s="16" t="n">
        <f aca="false">IF(A62&lt;N_len,"",IF(A62=N_len,AVERAGE($C$9:C62),a_len*C62+(1-a_len)*E61))</f>
        <v>206.972670750682</v>
      </c>
      <c r="F62" s="16" t="n">
        <f aca="false">IF(E62="","",D62-E62)</f>
        <v>10.8504598697301</v>
      </c>
      <c r="G62" s="16" t="n">
        <f aca="false">IF(A62&lt;N_len+N_sen-1,"",IF(A62=N_len+N_sen-1,AVERAGE($F$9:F62),a_sen*F62+(1-a_sen)*G61))</f>
        <v>10.7623163058061</v>
      </c>
      <c r="H62" s="16" t="n">
        <f aca="false">IF(G62="","",F62-G62)</f>
        <v>0.0881435639240014</v>
      </c>
      <c r="I62" s="11" t="str">
        <f aca="false">IF(OR(H62="",H61=""),"",IF(AND(H61&lt;=0,H62&gt;0),"Cruce alcista",IF(AND(H61&gt;=0,H62&lt;0),"Cruce bajista","")))</f>
        <v/>
      </c>
      <c r="J62" s="11" t="str">
        <f aca="false">IF(F62="","",IF(F62&gt;0,"Arriba de 0","Debajo de 0"))</f>
        <v>Arriba de 0</v>
      </c>
      <c r="K62" s="11" t="str">
        <f aca="false">IF(OR(F62="",F61=""),"",IF(ABS(F62)&lt;ABS(F61),"Convergen","Divergen"))</f>
        <v>Convergen</v>
      </c>
      <c r="L62" s="17" t="n">
        <f aca="false">IF(F62="","",F62/E62)</f>
        <v>0.0524246019069856</v>
      </c>
    </row>
    <row r="63" customFormat="false" ht="15" hidden="false" customHeight="false" outlineLevel="0" collapsed="false">
      <c r="A63" s="11" t="n">
        <f aca="false">ROW()-8</f>
        <v>55</v>
      </c>
      <c r="B63" s="14" t="n">
        <f aca="false">Datos!A56</f>
        <v>45933</v>
      </c>
      <c r="C63" s="15" t="n">
        <f aca="false">Datos!B56</f>
        <v>220.08</v>
      </c>
      <c r="D63" s="16" t="n">
        <f aca="false">IF(A63&lt;N_rap,"",IF(A63=N_rap,AVERAGE($C$9:C63),a_rap*C63+(1-a_rap)*D62))</f>
        <v>218.170341294195</v>
      </c>
      <c r="E63" s="16" t="n">
        <f aca="false">IF(A63&lt;N_len,"",IF(A63=N_len,AVERAGE($C$9:C63),a_len*C63+(1-a_len)*E62))</f>
        <v>207.943584028409</v>
      </c>
      <c r="F63" s="16" t="n">
        <f aca="false">IF(E63="","",D63-E63)</f>
        <v>10.2267572657856</v>
      </c>
      <c r="G63" s="16" t="n">
        <f aca="false">IF(A63&lt;N_len+N_sen-1,"",IF(A63=N_len+N_sen-1,AVERAGE($F$9:F63),a_sen*F63+(1-a_sen)*G62))</f>
        <v>10.655204497802</v>
      </c>
      <c r="H63" s="16" t="n">
        <f aca="false">IF(G63="","",F63-G63)</f>
        <v>-0.428447232016406</v>
      </c>
      <c r="I63" s="11" t="str">
        <f aca="false">IF(OR(H63="",H62=""),"",IF(AND(H62&lt;=0,H63&gt;0),"Cruce alcista",IF(AND(H62&gt;=0,H63&lt;0),"Cruce bajista","")))</f>
        <v>Cruce bajista</v>
      </c>
      <c r="J63" s="11" t="str">
        <f aca="false">IF(F63="","",IF(F63&gt;0,"Arriba de 0","Debajo de 0"))</f>
        <v>Arriba de 0</v>
      </c>
      <c r="K63" s="11" t="str">
        <f aca="false">IF(OR(F63="",F62=""),"",IF(ABS(F63)&lt;ABS(F62),"Convergen","Divergen"))</f>
        <v>Convergen</v>
      </c>
      <c r="L63" s="17" t="n">
        <f aca="false">IF(F63="","",F63/E63)</f>
        <v>0.0491804414816108</v>
      </c>
    </row>
    <row r="64" customFormat="false" ht="15" hidden="false" customHeight="false" outlineLevel="0" collapsed="false">
      <c r="A64" s="11" t="n">
        <f aca="false">ROW()-8</f>
        <v>56</v>
      </c>
      <c r="B64" s="14" t="n">
        <f aca="false">Datos!A57</f>
        <v>45940</v>
      </c>
      <c r="C64" s="15" t="n">
        <f aca="false">Datos!B57</f>
        <v>232.23</v>
      </c>
      <c r="D64" s="16" t="n">
        <f aca="false">IF(A64&lt;N_rap,"",IF(A64=N_rap,AVERAGE($C$9:C64),a_rap*C64+(1-a_rap)*D63))</f>
        <v>220.333365710473</v>
      </c>
      <c r="E64" s="16" t="n">
        <f aca="false">IF(A64&lt;N_len,"",IF(A64=N_len,AVERAGE($C$9:C64),a_len*C64+(1-a_len)*E63))</f>
        <v>209.742577804083</v>
      </c>
      <c r="F64" s="16" t="n">
        <f aca="false">IF(E64="","",D64-E64)</f>
        <v>10.5907879063899</v>
      </c>
      <c r="G64" s="16" t="n">
        <f aca="false">IF(A64&lt;N_len+N_sen-1,"",IF(A64=N_len+N_sen-1,AVERAGE($F$9:F64),a_sen*F64+(1-a_sen)*G63))</f>
        <v>10.6423211795196</v>
      </c>
      <c r="H64" s="16" t="n">
        <f aca="false">IF(G64="","",F64-G64)</f>
        <v>-0.0515332731296994</v>
      </c>
      <c r="I64" s="11" t="str">
        <f aca="false">IF(OR(H64="",H63=""),"",IF(AND(H63&lt;=0,H64&gt;0),"Cruce alcista",IF(AND(H63&gt;=0,H64&lt;0),"Cruce bajista","")))</f>
        <v/>
      </c>
      <c r="J64" s="11" t="str">
        <f aca="false">IF(F64="","",IF(F64&gt;0,"Arriba de 0","Debajo de 0"))</f>
        <v>Arriba de 0</v>
      </c>
      <c r="K64" s="11" t="str">
        <f aca="false">IF(OR(F64="",F63=""),"",IF(ABS(F64)&lt;ABS(F63),"Convergen","Divergen"))</f>
        <v>Divergen</v>
      </c>
      <c r="L64" s="17" t="n">
        <f aca="false">IF(F64="","",F64/E64)</f>
        <v>0.0504942201877702</v>
      </c>
    </row>
    <row r="65" customFormat="false" ht="15" hidden="false" customHeight="false" outlineLevel="0" collapsed="false">
      <c r="A65" s="11" t="n">
        <f aca="false">ROW()-8</f>
        <v>57</v>
      </c>
      <c r="B65" s="14" t="n">
        <f aca="false">Datos!A58</f>
        <v>45947</v>
      </c>
      <c r="C65" s="15" t="n">
        <f aca="false">Datos!B58</f>
        <v>229.88</v>
      </c>
      <c r="D65" s="16" t="n">
        <f aca="false">IF(A65&lt;N_rap,"",IF(A65=N_rap,AVERAGE($C$9:C65),a_rap*C65+(1-a_rap)*D64))</f>
        <v>221.802078678092</v>
      </c>
      <c r="E65" s="16" t="n">
        <f aca="false">IF(A65&lt;N_len,"",IF(A65=N_len,AVERAGE($C$9:C65),a_len*C65+(1-a_len)*E64))</f>
        <v>211.234238707484</v>
      </c>
      <c r="F65" s="16" t="n">
        <f aca="false">IF(E65="","",D65-E65)</f>
        <v>10.5678399706082</v>
      </c>
      <c r="G65" s="16" t="n">
        <f aca="false">IF(A65&lt;N_len+N_sen-1,"",IF(A65=N_len+N_sen-1,AVERAGE($F$9:F65),a_sen*F65+(1-a_sen)*G64))</f>
        <v>10.6274249377373</v>
      </c>
      <c r="H65" s="16" t="n">
        <f aca="false">IF(G65="","",F65-G65)</f>
        <v>-0.0595849671291209</v>
      </c>
      <c r="I65" s="11" t="str">
        <f aca="false">IF(OR(H65="",H64=""),"",IF(AND(H64&lt;=0,H65&gt;0),"Cruce alcista",IF(AND(H64&gt;=0,H65&lt;0),"Cruce bajista","")))</f>
        <v/>
      </c>
      <c r="J65" s="11" t="str">
        <f aca="false">IF(F65="","",IF(F65&gt;0,"Arriba de 0","Debajo de 0"))</f>
        <v>Arriba de 0</v>
      </c>
      <c r="K65" s="11" t="str">
        <f aca="false">IF(OR(F65="",F64=""),"",IF(ABS(F65)&lt;ABS(F64),"Convergen","Divergen"))</f>
        <v>Convergen</v>
      </c>
      <c r="L65" s="17" t="n">
        <f aca="false">IF(F65="","",F65/E65)</f>
        <v>0.0500290106152842</v>
      </c>
    </row>
    <row r="66" customFormat="false" ht="15" hidden="false" customHeight="false" outlineLevel="0" collapsed="false">
      <c r="A66" s="11" t="n">
        <f aca="false">ROW()-8</f>
        <v>58</v>
      </c>
      <c r="B66" s="14" t="n">
        <f aca="false">Datos!A59</f>
        <v>45954</v>
      </c>
      <c r="C66" s="15" t="n">
        <f aca="false">Datos!B59</f>
        <v>229.64</v>
      </c>
      <c r="D66" s="16" t="n">
        <f aca="false">IF(A66&lt;N_rap,"",IF(A66=N_rap,AVERAGE($C$9:C66),a_rap*C66+(1-a_rap)*D65))</f>
        <v>223.007912727617</v>
      </c>
      <c r="E66" s="16" t="n">
        <f aca="false">IF(A66&lt;N_len,"",IF(A66=N_len,AVERAGE($C$9:C66),a_len*C66+(1-a_len)*E65))</f>
        <v>212.597628432856</v>
      </c>
      <c r="F66" s="16" t="n">
        <f aca="false">IF(E66="","",D66-E66)</f>
        <v>10.4102842947609</v>
      </c>
      <c r="G66" s="16" t="n">
        <f aca="false">IF(A66&lt;N_len+N_sen-1,"",IF(A66=N_len+N_sen-1,AVERAGE($F$9:F66),a_sen*F66+(1-a_sen)*G65))</f>
        <v>10.583996809142</v>
      </c>
      <c r="H66" s="16" t="n">
        <f aca="false">IF(G66="","",F66-G66)</f>
        <v>-0.173712514381119</v>
      </c>
      <c r="I66" s="11" t="str">
        <f aca="false">IF(OR(H66="",H65=""),"",IF(AND(H65&lt;=0,H66&gt;0),"Cruce alcista",IF(AND(H65&gt;=0,H66&lt;0),"Cruce bajista","")))</f>
        <v/>
      </c>
      <c r="J66" s="11" t="str">
        <f aca="false">IF(F66="","",IF(F66&gt;0,"Arriba de 0","Debajo de 0"))</f>
        <v>Arriba de 0</v>
      </c>
      <c r="K66" s="11" t="str">
        <f aca="false">IF(OR(F66="",F65=""),"",IF(ABS(F66)&lt;ABS(F65),"Convergen","Divergen"))</f>
        <v>Convergen</v>
      </c>
      <c r="L66" s="17" t="n">
        <f aca="false">IF(F66="","",F66/E66)</f>
        <v>0.0489670763098318</v>
      </c>
    </row>
    <row r="67" customFormat="false" ht="15" hidden="false" customHeight="false" outlineLevel="0" collapsed="false">
      <c r="A67" s="11" t="n">
        <f aca="false">ROW()-8</f>
        <v>59</v>
      </c>
      <c r="B67" s="14" t="n">
        <f aca="false">Datos!A60</f>
        <v>45961</v>
      </c>
      <c r="C67" s="15" t="n">
        <f aca="false">Datos!B60</f>
        <v>234.24</v>
      </c>
      <c r="D67" s="16" t="n">
        <f aca="false">IF(A67&lt;N_rap,"",IF(A67=N_rap,AVERAGE($C$9:C67),a_rap*C67+(1-a_rap)*D66))</f>
        <v>224.735926154137</v>
      </c>
      <c r="E67" s="16" t="n">
        <f aca="false">IF(A67&lt;N_len,"",IF(A67=N_len,AVERAGE($C$9:C67),a_len*C67+(1-a_len)*E66))</f>
        <v>214.200767067459</v>
      </c>
      <c r="F67" s="16" t="n">
        <f aca="false">IF(E67="","",D67-E67)</f>
        <v>10.5351590866781</v>
      </c>
      <c r="G67" s="16" t="n">
        <f aca="false">IF(A67&lt;N_len+N_sen-1,"",IF(A67=N_len+N_sen-1,AVERAGE($F$9:F67),a_sen*F67+(1-a_sen)*G66))</f>
        <v>10.5742292646493</v>
      </c>
      <c r="H67" s="16" t="n">
        <f aca="false">IF(G67="","",F67-G67)</f>
        <v>-0.0390701779711193</v>
      </c>
      <c r="I67" s="11" t="str">
        <f aca="false">IF(OR(H67="",H66=""),"",IF(AND(H66&lt;=0,H67&gt;0),"Cruce alcista",IF(AND(H66&gt;=0,H67&lt;0),"Cruce bajista","")))</f>
        <v/>
      </c>
      <c r="J67" s="11" t="str">
        <f aca="false">IF(F67="","",IF(F67&gt;0,"Arriba de 0","Debajo de 0"))</f>
        <v>Arriba de 0</v>
      </c>
      <c r="K67" s="11" t="str">
        <f aca="false">IF(OR(F67="",F66=""),"",IF(ABS(F67)&lt;ABS(F66),"Convergen","Divergen"))</f>
        <v>Divergen</v>
      </c>
      <c r="L67" s="17" t="n">
        <f aca="false">IF(F67="","",F67/E67)</f>
        <v>0.0491835731071881</v>
      </c>
    </row>
    <row r="68" customFormat="false" ht="15" hidden="false" customHeight="false" outlineLevel="0" collapsed="false">
      <c r="A68" s="11" t="n">
        <f aca="false">ROW()-8</f>
        <v>60</v>
      </c>
      <c r="B68" s="14" t="n">
        <f aca="false">Datos!A61</f>
        <v>45968</v>
      </c>
      <c r="C68" s="15" t="n">
        <f aca="false">Datos!B61</f>
        <v>228.93</v>
      </c>
      <c r="D68" s="16" t="n">
        <f aca="false">IF(A68&lt;N_rap,"",IF(A68=N_rap,AVERAGE($C$9:C68),a_rap*C68+(1-a_rap)*D67))</f>
        <v>225.38116828427</v>
      </c>
      <c r="E68" s="16" t="n">
        <f aca="false">IF(A68&lt;N_len,"",IF(A68=N_len,AVERAGE($C$9:C68),a_len*C68+(1-a_len)*E67))</f>
        <v>215.291821358758</v>
      </c>
      <c r="F68" s="16" t="n">
        <f aca="false">IF(E68="","",D68-E68)</f>
        <v>10.0893469255115</v>
      </c>
      <c r="G68" s="16" t="n">
        <f aca="false">IF(A68&lt;N_len+N_sen-1,"",IF(A68=N_len+N_sen-1,AVERAGE($F$9:F68),a_sen*F68+(1-a_sen)*G67))</f>
        <v>10.4772527968217</v>
      </c>
      <c r="H68" s="16" t="n">
        <f aca="false">IF(G68="","",F68-G68)</f>
        <v>-0.387905871310176</v>
      </c>
      <c r="I68" s="11" t="str">
        <f aca="false">IF(OR(H68="",H67=""),"",IF(AND(H67&lt;=0,H68&gt;0),"Cruce alcista",IF(AND(H67&gt;=0,H68&lt;0),"Cruce bajista","")))</f>
        <v/>
      </c>
      <c r="J68" s="11" t="str">
        <f aca="false">IF(F68="","",IF(F68&gt;0,"Arriba de 0","Debajo de 0"))</f>
        <v>Arriba de 0</v>
      </c>
      <c r="K68" s="11" t="str">
        <f aca="false">IF(OR(F68="",F67=""),"",IF(ABS(F68)&lt;ABS(F67),"Convergen","Divergen"))</f>
        <v>Convergen</v>
      </c>
      <c r="L68" s="17" t="n">
        <f aca="false">IF(F68="","",F68/E68)</f>
        <v>0.0468635866510639</v>
      </c>
    </row>
    <row r="69" customFormat="false" ht="15" hidden="false" customHeight="false" outlineLevel="0" collapsed="false">
      <c r="A69" s="11" t="n">
        <f aca="false">ROW()-8</f>
        <v>61</v>
      </c>
      <c r="B69" s="14" t="n">
        <f aca="false">Datos!A62</f>
        <v>45975</v>
      </c>
      <c r="C69" s="15" t="n">
        <f aca="false">Datos!B62</f>
        <v>231.98</v>
      </c>
      <c r="D69" s="16" t="n">
        <f aca="false">IF(A69&lt;N_rap,"",IF(A69=N_rap,AVERAGE($C$9:C69),a_rap*C69+(1-a_rap)*D68))</f>
        <v>226.396373163613</v>
      </c>
      <c r="E69" s="16" t="n">
        <f aca="false">IF(A69&lt;N_len,"",IF(A69=N_len,AVERAGE($C$9:C69),a_len*C69+(1-a_len)*E68))</f>
        <v>216.527982739591</v>
      </c>
      <c r="F69" s="16" t="n">
        <f aca="false">IF(E69="","",D69-E69)</f>
        <v>9.8683904240219</v>
      </c>
      <c r="G69" s="16" t="n">
        <f aca="false">IF(A69&lt;N_len+N_sen-1,"",IF(A69=N_len+N_sen-1,AVERAGE($F$9:F69),a_sen*F69+(1-a_sen)*G68))</f>
        <v>10.3554803222618</v>
      </c>
      <c r="H69" s="16" t="n">
        <f aca="false">IF(G69="","",F69-G69)</f>
        <v>-0.487089898239853</v>
      </c>
      <c r="I69" s="11" t="str">
        <f aca="false">IF(OR(H69="",H68=""),"",IF(AND(H68&lt;=0,H69&gt;0),"Cruce alcista",IF(AND(H68&gt;=0,H69&lt;0),"Cruce bajista","")))</f>
        <v/>
      </c>
      <c r="J69" s="11" t="str">
        <f aca="false">IF(F69="","",IF(F69&gt;0,"Arriba de 0","Debajo de 0"))</f>
        <v>Arriba de 0</v>
      </c>
      <c r="K69" s="11" t="str">
        <f aca="false">IF(OR(F69="",F68=""),"",IF(ABS(F69)&lt;ABS(F68),"Convergen","Divergen"))</f>
        <v>Convergen</v>
      </c>
      <c r="L69" s="17" t="n">
        <f aca="false">IF(F69="","",F69/E69)</f>
        <v>0.0455755893495308</v>
      </c>
    </row>
    <row r="70" customFormat="false" ht="15" hidden="false" customHeight="false" outlineLevel="0" collapsed="false">
      <c r="A70" s="11" t="n">
        <f aca="false">ROW()-8</f>
        <v>62</v>
      </c>
      <c r="B70" s="14" t="n">
        <f aca="false">Datos!A63</f>
        <v>45982</v>
      </c>
      <c r="C70" s="15" t="n">
        <f aca="false">Datos!B63</f>
        <v>219.67</v>
      </c>
      <c r="D70" s="16" t="n">
        <f aca="false">IF(A70&lt;N_rap,"",IF(A70=N_rap,AVERAGE($C$9:C70),a_rap*C70+(1-a_rap)*D69))</f>
        <v>225.361546523057</v>
      </c>
      <c r="E70" s="16" t="n">
        <f aca="false">IF(A70&lt;N_len,"",IF(A70=N_len,AVERAGE($C$9:C70),a_len*C70+(1-a_len)*E69))</f>
        <v>216.760724758881</v>
      </c>
      <c r="F70" s="16" t="n">
        <f aca="false">IF(E70="","",D70-E70)</f>
        <v>8.60082176417652</v>
      </c>
      <c r="G70" s="16" t="n">
        <f aca="false">IF(A70&lt;N_len+N_sen-1,"",IF(A70=N_len+N_sen-1,AVERAGE($F$9:F70),a_sen*F70+(1-a_sen)*G69))</f>
        <v>10.0045486106447</v>
      </c>
      <c r="H70" s="16" t="n">
        <f aca="false">IF(G70="","",F70-G70)</f>
        <v>-1.40372684646819</v>
      </c>
      <c r="I70" s="11" t="str">
        <f aca="false">IF(OR(H70="",H69=""),"",IF(AND(H69&lt;=0,H70&gt;0),"Cruce alcista",IF(AND(H69&gt;=0,H70&lt;0),"Cruce bajista","")))</f>
        <v/>
      </c>
      <c r="J70" s="11" t="str">
        <f aca="false">IF(F70="","",IF(F70&gt;0,"Arriba de 0","Debajo de 0"))</f>
        <v>Arriba de 0</v>
      </c>
      <c r="K70" s="11" t="str">
        <f aca="false">IF(OR(F70="",F69=""),"",IF(ABS(F70)&lt;ABS(F69),"Convergen","Divergen"))</f>
        <v>Convergen</v>
      </c>
      <c r="L70" s="17" t="n">
        <f aca="false">IF(F70="","",F70/E70)</f>
        <v>0.0396788752839974</v>
      </c>
    </row>
    <row r="71" customFormat="false" ht="15" hidden="false" customHeight="false" outlineLevel="0" collapsed="false">
      <c r="A71" s="11" t="n">
        <f aca="false">ROW()-8</f>
        <v>63</v>
      </c>
      <c r="B71" s="14" t="n">
        <f aca="false">Datos!A64</f>
        <v>45989</v>
      </c>
      <c r="C71" s="15" t="n">
        <f aca="false">Datos!B64</f>
        <v>227.29</v>
      </c>
      <c r="D71" s="16" t="n">
        <f aca="false">IF(A71&lt;N_rap,"",IF(A71=N_rap,AVERAGE($C$9:C71),a_rap*C71+(1-a_rap)*D70))</f>
        <v>225.658231673356</v>
      </c>
      <c r="E71" s="16" t="n">
        <f aca="false">IF(A71&lt;N_len,"",IF(A71=N_len,AVERAGE($C$9:C71),a_len*C71+(1-a_len)*E70))</f>
        <v>217.540671073038</v>
      </c>
      <c r="F71" s="16" t="n">
        <f aca="false">IF(E71="","",D71-E71)</f>
        <v>8.11756060031843</v>
      </c>
      <c r="G71" s="16" t="n">
        <f aca="false">IF(A71&lt;N_len+N_sen-1,"",IF(A71=N_len+N_sen-1,AVERAGE($F$9:F71),a_sen*F71+(1-a_sen)*G70))</f>
        <v>9.62715100857945</v>
      </c>
      <c r="H71" s="16" t="n">
        <f aca="false">IF(G71="","",F71-G71)</f>
        <v>-1.50959040826102</v>
      </c>
      <c r="I71" s="11" t="str">
        <f aca="false">IF(OR(H71="",H70=""),"",IF(AND(H70&lt;=0,H71&gt;0),"Cruce alcista",IF(AND(H70&gt;=0,H71&lt;0),"Cruce bajista","")))</f>
        <v/>
      </c>
      <c r="J71" s="11" t="str">
        <f aca="false">IF(F71="","",IF(F71&gt;0,"Arriba de 0","Debajo de 0"))</f>
        <v>Arriba de 0</v>
      </c>
      <c r="K71" s="11" t="str">
        <f aca="false">IF(OR(F71="",F70=""),"",IF(ABS(F71)&lt;ABS(F70),"Convergen","Divergen"))</f>
        <v>Convergen</v>
      </c>
      <c r="L71" s="17" t="n">
        <f aca="false">IF(F71="","",F71/E71)</f>
        <v>0.0373151400162456</v>
      </c>
    </row>
    <row r="72" customFormat="false" ht="15" hidden="false" customHeight="false" outlineLevel="0" collapsed="false">
      <c r="A72" s="11" t="n">
        <f aca="false">ROW()-8</f>
        <v>64</v>
      </c>
      <c r="B72" s="14" t="n">
        <f aca="false">Datos!A65</f>
        <v>45996</v>
      </c>
      <c r="C72" s="15" t="n">
        <f aca="false">Datos!B65</f>
        <v>229.88</v>
      </c>
      <c r="D72" s="16" t="n">
        <f aca="false">IF(A72&lt;N_rap,"",IF(A72=N_rap,AVERAGE($C$9:C72),a_rap*C72+(1-a_rap)*D71))</f>
        <v>226.30773449284</v>
      </c>
      <c r="E72" s="16" t="n">
        <f aca="false">IF(A72&lt;N_len,"",IF(A72=N_len,AVERAGE($C$9:C72),a_len*C72+(1-a_len)*E71))</f>
        <v>218.454695437998</v>
      </c>
      <c r="F72" s="16" t="n">
        <f aca="false">IF(E72="","",D72-E72)</f>
        <v>7.85303905484196</v>
      </c>
      <c r="G72" s="16" t="n">
        <f aca="false">IF(A72&lt;N_len+N_sen-1,"",IF(A72=N_len+N_sen-1,AVERAGE($F$9:F72),a_sen*F72+(1-a_sen)*G71))</f>
        <v>9.27232861783195</v>
      </c>
      <c r="H72" s="16" t="n">
        <f aca="false">IF(G72="","",F72-G72)</f>
        <v>-1.41928956298999</v>
      </c>
      <c r="I72" s="11" t="str">
        <f aca="false">IF(OR(H72="",H71=""),"",IF(AND(H71&lt;=0,H72&gt;0),"Cruce alcista",IF(AND(H71&gt;=0,H72&lt;0),"Cruce bajista","")))</f>
        <v/>
      </c>
      <c r="J72" s="11" t="str">
        <f aca="false">IF(F72="","",IF(F72&gt;0,"Arriba de 0","Debajo de 0"))</f>
        <v>Arriba de 0</v>
      </c>
      <c r="K72" s="11" t="str">
        <f aca="false">IF(OR(F72="",F71=""),"",IF(ABS(F72)&lt;ABS(F71),"Convergen","Divergen"))</f>
        <v>Convergen</v>
      </c>
      <c r="L72" s="17" t="n">
        <f aca="false">IF(F72="","",F72/E72)</f>
        <v>0.0359481357866754</v>
      </c>
    </row>
    <row r="73" customFormat="false" ht="15" hidden="false" customHeight="false" outlineLevel="0" collapsed="false">
      <c r="A73" s="11" t="n">
        <f aca="false">ROW()-8</f>
        <v>65</v>
      </c>
      <c r="B73" s="14" t="n">
        <f aca="false">Datos!A66</f>
        <v>46003</v>
      </c>
      <c r="C73" s="15" t="n">
        <f aca="false">Datos!B66</f>
        <v>238.14</v>
      </c>
      <c r="D73" s="16" t="n">
        <f aca="false">IF(A73&lt;N_rap,"",IF(A73=N_rap,AVERAGE($C$9:C73),a_rap*C73+(1-a_rap)*D72))</f>
        <v>228.128083032403</v>
      </c>
      <c r="E73" s="16" t="n">
        <f aca="false">IF(A73&lt;N_len,"",IF(A73=N_len,AVERAGE($C$9:C73),a_len*C73+(1-a_len)*E72))</f>
        <v>219.912866146294</v>
      </c>
      <c r="F73" s="16" t="n">
        <f aca="false">IF(E73="","",D73-E73)</f>
        <v>8.21521688610861</v>
      </c>
      <c r="G73" s="16" t="n">
        <f aca="false">IF(A73&lt;N_len+N_sen-1,"",IF(A73=N_len+N_sen-1,AVERAGE($F$9:F73),a_sen*F73+(1-a_sen)*G72))</f>
        <v>9.06090627148728</v>
      </c>
      <c r="H73" s="16" t="n">
        <f aca="false">IF(G73="","",F73-G73)</f>
        <v>-0.845689385378675</v>
      </c>
      <c r="I73" s="11" t="str">
        <f aca="false">IF(OR(H73="",H72=""),"",IF(AND(H72&lt;=0,H73&gt;0),"Cruce alcista",IF(AND(H72&gt;=0,H73&lt;0),"Cruce bajista","")))</f>
        <v/>
      </c>
      <c r="J73" s="11" t="str">
        <f aca="false">IF(F73="","",IF(F73&gt;0,"Arriba de 0","Debajo de 0"))</f>
        <v>Arriba de 0</v>
      </c>
      <c r="K73" s="11" t="str">
        <f aca="false">IF(OR(F73="",F72=""),"",IF(ABS(F73)&lt;ABS(F72),"Convergen","Divergen"))</f>
        <v>Divergen</v>
      </c>
      <c r="L73" s="17" t="n">
        <f aca="false">IF(F73="","",F73/E73)</f>
        <v>0.0373566905387134</v>
      </c>
    </row>
    <row r="74" customFormat="false" ht="15" hidden="false" customHeight="false" outlineLevel="0" collapsed="false">
      <c r="A74" s="11" t="n">
        <f aca="false">ROW()-8</f>
        <v>66</v>
      </c>
      <c r="B74" s="14" t="n">
        <f aca="false">Datos!A67</f>
        <v>46010</v>
      </c>
      <c r="C74" s="15" t="n">
        <f aca="false">Datos!B67</f>
        <v>235.55</v>
      </c>
      <c r="D74" s="16" t="n">
        <f aca="false">IF(A74&lt;N_rap,"",IF(A74=N_rap,AVERAGE($C$9:C74),a_rap*C74+(1-a_rap)*D73))</f>
        <v>229.269916412033</v>
      </c>
      <c r="E74" s="16" t="n">
        <f aca="false">IF(A74&lt;N_len,"",IF(A74=N_len,AVERAGE($C$9:C74),a_len*C74+(1-a_len)*E73))</f>
        <v>221.07117235768</v>
      </c>
      <c r="F74" s="16" t="n">
        <f aca="false">IF(E74="","",D74-E74)</f>
        <v>8.19874405435334</v>
      </c>
      <c r="G74" s="16" t="n">
        <f aca="false">IF(A74&lt;N_len+N_sen-1,"",IF(A74=N_len+N_sen-1,AVERAGE($F$9:F74),a_sen*F74+(1-a_sen)*G73))</f>
        <v>8.88847382806049</v>
      </c>
      <c r="H74" s="16" t="n">
        <f aca="false">IF(G74="","",F74-G74)</f>
        <v>-0.689729773707153</v>
      </c>
      <c r="I74" s="11" t="str">
        <f aca="false">IF(OR(H74="",H73=""),"",IF(AND(H73&lt;=0,H74&gt;0),"Cruce alcista",IF(AND(H73&gt;=0,H74&lt;0),"Cruce bajista","")))</f>
        <v/>
      </c>
      <c r="J74" s="11" t="str">
        <f aca="false">IF(F74="","",IF(F74&gt;0,"Arriba de 0","Debajo de 0"))</f>
        <v>Arriba de 0</v>
      </c>
      <c r="K74" s="11" t="str">
        <f aca="false">IF(OR(F74="",F73=""),"",IF(ABS(F74)&lt;ABS(F73),"Convergen","Divergen"))</f>
        <v>Convergen</v>
      </c>
      <c r="L74" s="17" t="n">
        <f aca="false">IF(F74="","",F74/E74)</f>
        <v>0.0370864458125199</v>
      </c>
    </row>
    <row r="75" customFormat="false" ht="15" hidden="false" customHeight="false" outlineLevel="0" collapsed="false">
      <c r="A75" s="11" t="n">
        <f aca="false">ROW()-8</f>
        <v>67</v>
      </c>
      <c r="B75" s="14" t="n">
        <f aca="false">Datos!A68</f>
        <v>46017</v>
      </c>
      <c r="C75" s="15" t="n">
        <f aca="false">Datos!B68</f>
        <v>226.74</v>
      </c>
      <c r="D75" s="16" t="n">
        <f aca="false">IF(A75&lt;N_rap,"",IF(A75=N_rap,AVERAGE($C$9:C75),a_rap*C75+(1-a_rap)*D74))</f>
        <v>228.88069850249</v>
      </c>
      <c r="E75" s="16" t="n">
        <f aca="false">IF(A75&lt;N_len,"",IF(A75=N_len,AVERAGE($C$9:C75),a_len*C75+(1-a_len)*E74))</f>
        <v>221.49108551637</v>
      </c>
      <c r="F75" s="16" t="n">
        <f aca="false">IF(E75="","",D75-E75)</f>
        <v>7.38961298611943</v>
      </c>
      <c r="G75" s="16" t="n">
        <f aca="false">IF(A75&lt;N_len+N_sen-1,"",IF(A75=N_len+N_sen-1,AVERAGE($F$9:F75),a_sen*F75+(1-a_sen)*G74))</f>
        <v>8.58870165967228</v>
      </c>
      <c r="H75" s="16" t="n">
        <f aca="false">IF(G75="","",F75-G75)</f>
        <v>-1.19908867355285</v>
      </c>
      <c r="I75" s="11" t="str">
        <f aca="false">IF(OR(H75="",H74=""),"",IF(AND(H74&lt;=0,H75&gt;0),"Cruce alcista",IF(AND(H74&gt;=0,H75&lt;0),"Cruce bajista","")))</f>
        <v/>
      </c>
      <c r="J75" s="11" t="str">
        <f aca="false">IF(F75="","",IF(F75&gt;0,"Arriba de 0","Debajo de 0"))</f>
        <v>Arriba de 0</v>
      </c>
      <c r="K75" s="11" t="str">
        <f aca="false">IF(OR(F75="",F74=""),"",IF(ABS(F75)&lt;ABS(F74),"Convergen","Divergen"))</f>
        <v>Convergen</v>
      </c>
      <c r="L75" s="17" t="n">
        <f aca="false">IF(F75="","",F75/E75)</f>
        <v>0.0333630266378069</v>
      </c>
    </row>
    <row r="76" customFormat="false" ht="15" hidden="false" customHeight="false" outlineLevel="0" collapsed="false">
      <c r="A76" s="11" t="n">
        <f aca="false">ROW()-8</f>
        <v>68</v>
      </c>
      <c r="B76" s="14" t="n">
        <f aca="false">Datos!A69</f>
        <v>46024</v>
      </c>
      <c r="C76" s="15" t="n">
        <f aca="false">Datos!B69</f>
        <v>224.69</v>
      </c>
      <c r="D76" s="16" t="n">
        <f aca="false">IF(A76&lt;N_rap,"",IF(A76=N_rap,AVERAGE($C$9:C76),a_rap*C76+(1-a_rap)*D75))</f>
        <v>228.235975655953</v>
      </c>
      <c r="E76" s="16" t="n">
        <f aca="false">IF(A76&lt;N_len,"",IF(A76=N_len,AVERAGE($C$9:C76),a_len*C76+(1-a_len)*E75))</f>
        <v>221.728042144787</v>
      </c>
      <c r="F76" s="16" t="n">
        <f aca="false">IF(E76="","",D76-E76)</f>
        <v>6.50793351116556</v>
      </c>
      <c r="G76" s="16" t="n">
        <f aca="false">IF(A76&lt;N_len+N_sen-1,"",IF(A76=N_len+N_sen-1,AVERAGE($F$9:F76),a_sen*F76+(1-a_sen)*G75))</f>
        <v>8.17254802997094</v>
      </c>
      <c r="H76" s="16" t="n">
        <f aca="false">IF(G76="","",F76-G76)</f>
        <v>-1.66461451880538</v>
      </c>
      <c r="I76" s="11" t="str">
        <f aca="false">IF(OR(H76="",H75=""),"",IF(AND(H75&lt;=0,H76&gt;0),"Cruce alcista",IF(AND(H75&gt;=0,H76&lt;0),"Cruce bajista","")))</f>
        <v/>
      </c>
      <c r="J76" s="11" t="str">
        <f aca="false">IF(F76="","",IF(F76&gt;0,"Arriba de 0","Debajo de 0"))</f>
        <v>Arriba de 0</v>
      </c>
      <c r="K76" s="11" t="str">
        <f aca="false">IF(OR(F76="",F75=""),"",IF(ABS(F76)&lt;ABS(F75),"Convergen","Divergen"))</f>
        <v>Convergen</v>
      </c>
      <c r="L76" s="17" t="n">
        <f aca="false">IF(F76="","",F76/E76)</f>
        <v>0.0293509717950602</v>
      </c>
    </row>
    <row r="77" customFormat="false" ht="15" hidden="false" customHeight="false" outlineLevel="0" collapsed="false">
      <c r="A77" s="11" t="n">
        <f aca="false">ROW()-8</f>
        <v>69</v>
      </c>
      <c r="B77" s="14" t="n">
        <f aca="false">Datos!A70</f>
        <v>46031</v>
      </c>
      <c r="C77" s="15" t="n">
        <f aca="false">Datos!B70</f>
        <v>219.58</v>
      </c>
      <c r="D77" s="16" t="n">
        <f aca="false">IF(A77&lt;N_rap,"",IF(A77=N_rap,AVERAGE($C$9:C77),a_rap*C77+(1-a_rap)*D76))</f>
        <v>226.904287093499</v>
      </c>
      <c r="E77" s="16" t="n">
        <f aca="false">IF(A77&lt;N_len,"",IF(A77=N_len,AVERAGE($C$9:C77),a_len*C77+(1-a_len)*E76))</f>
        <v>221.56892791184</v>
      </c>
      <c r="F77" s="16" t="n">
        <f aca="false">IF(E77="","",D77-E77)</f>
        <v>5.33535918165853</v>
      </c>
      <c r="G77" s="16" t="n">
        <f aca="false">IF(A77&lt;N_len+N_sen-1,"",IF(A77=N_len+N_sen-1,AVERAGE($F$9:F77),a_sen*F77+(1-a_sen)*G76))</f>
        <v>7.60511026030846</v>
      </c>
      <c r="H77" s="16" t="n">
        <f aca="false">IF(G77="","",F77-G77)</f>
        <v>-2.26975107864993</v>
      </c>
      <c r="I77" s="11" t="str">
        <f aca="false">IF(OR(H77="",H76=""),"",IF(AND(H76&lt;=0,H77&gt;0),"Cruce alcista",IF(AND(H76&gt;=0,H77&lt;0),"Cruce bajista","")))</f>
        <v/>
      </c>
      <c r="J77" s="11" t="str">
        <f aca="false">IF(F77="","",IF(F77&gt;0,"Arriba de 0","Debajo de 0"))</f>
        <v>Arriba de 0</v>
      </c>
      <c r="K77" s="11" t="str">
        <f aca="false">IF(OR(F77="",F76=""),"",IF(ABS(F77)&lt;ABS(F76),"Convergen","Divergen"))</f>
        <v>Convergen</v>
      </c>
      <c r="L77" s="17" t="n">
        <f aca="false">IF(F77="","",F77/E77)</f>
        <v>0.0240799070155785</v>
      </c>
    </row>
    <row r="78" customFormat="false" ht="15" hidden="false" customHeight="false" outlineLevel="0" collapsed="false">
      <c r="A78" s="11" t="n">
        <f aca="false">ROW()-8</f>
        <v>70</v>
      </c>
      <c r="B78" s="14" t="n">
        <f aca="false">Datos!A71</f>
        <v>46038</v>
      </c>
      <c r="C78" s="15" t="n">
        <f aca="false">Datos!B71</f>
        <v>218.42</v>
      </c>
      <c r="D78" s="16" t="n">
        <f aca="false">IF(A78&lt;N_rap,"",IF(A78=N_rap,AVERAGE($C$9:C78),a_rap*C78+(1-a_rap)*D77))</f>
        <v>225.599012156037</v>
      </c>
      <c r="E78" s="16" t="n">
        <f aca="false">IF(A78&lt;N_len,"",IF(A78=N_len,AVERAGE($C$9:C78),a_len*C78+(1-a_len)*E77))</f>
        <v>221.335673992444</v>
      </c>
      <c r="F78" s="16" t="n">
        <f aca="false">IF(E78="","",D78-E78)</f>
        <v>4.26333816359278</v>
      </c>
      <c r="G78" s="16" t="n">
        <f aca="false">IF(A78&lt;N_len+N_sen-1,"",IF(A78=N_len+N_sen-1,AVERAGE($F$9:F78),a_sen*F78+(1-a_sen)*G77))</f>
        <v>6.93675584096532</v>
      </c>
      <c r="H78" s="16" t="n">
        <f aca="false">IF(G78="","",F78-G78)</f>
        <v>-2.67341767737254</v>
      </c>
      <c r="I78" s="11" t="str">
        <f aca="false">IF(OR(H78="",H77=""),"",IF(AND(H77&lt;=0,H78&gt;0),"Cruce alcista",IF(AND(H77&gt;=0,H78&lt;0),"Cruce bajista","")))</f>
        <v/>
      </c>
      <c r="J78" s="11" t="str">
        <f aca="false">IF(F78="","",IF(F78&gt;0,"Arriba de 0","Debajo de 0"))</f>
        <v>Arriba de 0</v>
      </c>
      <c r="K78" s="11" t="str">
        <f aca="false">IF(OR(F78="",F77=""),"",IF(ABS(F78)&lt;ABS(F77),"Convergen","Divergen"))</f>
        <v>Convergen</v>
      </c>
      <c r="L78" s="17" t="n">
        <f aca="false">IF(F78="","",F78/E78)</f>
        <v>0.0192618663168519</v>
      </c>
    </row>
    <row r="79" customFormat="false" ht="15" hidden="false" customHeight="false" outlineLevel="0" collapsed="false">
      <c r="A79" s="11" t="n">
        <f aca="false">ROW()-8</f>
        <v>71</v>
      </c>
      <c r="B79" s="14" t="n">
        <f aca="false">Datos!A72</f>
        <v>46045</v>
      </c>
      <c r="C79" s="15" t="n">
        <f aca="false">Datos!B72</f>
        <v>230.39</v>
      </c>
      <c r="D79" s="16" t="n">
        <f aca="false">IF(A79&lt;N_rap,"",IF(A79=N_rap,AVERAGE($C$9:C79),a_rap*C79+(1-a_rap)*D78))</f>
        <v>226.336087208955</v>
      </c>
      <c r="E79" s="16" t="n">
        <f aca="false">IF(A79&lt;N_len,"",IF(A79=N_len,AVERAGE($C$9:C79),a_len*C79+(1-a_len)*E78))</f>
        <v>222.006364807819</v>
      </c>
      <c r="F79" s="16" t="n">
        <f aca="false">IF(E79="","",D79-E79)</f>
        <v>4.32972240113566</v>
      </c>
      <c r="G79" s="16" t="n">
        <f aca="false">IF(A79&lt;N_len+N_sen-1,"",IF(A79=N_len+N_sen-1,AVERAGE($F$9:F79),a_sen*F79+(1-a_sen)*G78))</f>
        <v>6.41534915299939</v>
      </c>
      <c r="H79" s="16" t="n">
        <f aca="false">IF(G79="","",F79-G79)</f>
        <v>-2.08562675186373</v>
      </c>
      <c r="I79" s="11" t="str">
        <f aca="false">IF(OR(H79="",H78=""),"",IF(AND(H78&lt;=0,H79&gt;0),"Cruce alcista",IF(AND(H78&gt;=0,H79&lt;0),"Cruce bajista","")))</f>
        <v/>
      </c>
      <c r="J79" s="11" t="str">
        <f aca="false">IF(F79="","",IF(F79&gt;0,"Arriba de 0","Debajo de 0"))</f>
        <v>Arriba de 0</v>
      </c>
      <c r="K79" s="11" t="str">
        <f aca="false">IF(OR(F79="",F78=""),"",IF(ABS(F79)&lt;ABS(F78),"Convergen","Divergen"))</f>
        <v>Divergen</v>
      </c>
      <c r="L79" s="17" t="n">
        <f aca="false">IF(F79="","",F79/E79)</f>
        <v>0.0195026949109486</v>
      </c>
    </row>
    <row r="80" customFormat="false" ht="15" hidden="false" customHeight="false" outlineLevel="0" collapsed="false">
      <c r="A80" s="11" t="n">
        <f aca="false">ROW()-8</f>
        <v>72</v>
      </c>
      <c r="B80" s="14" t="n">
        <f aca="false">Datos!A73</f>
        <v>46052</v>
      </c>
      <c r="C80" s="15" t="n">
        <f aca="false">Datos!B73</f>
        <v>226.42</v>
      </c>
      <c r="D80" s="16" t="n">
        <f aca="false">IF(A80&lt;N_rap,"",IF(A80=N_rap,AVERAGE($C$9:C80),a_rap*C80+(1-a_rap)*D79))</f>
        <v>226.348996869115</v>
      </c>
      <c r="E80" s="16" t="n">
        <f aca="false">IF(A80&lt;N_len,"",IF(A80=N_len,AVERAGE($C$9:C80),a_len*C80+(1-a_len)*E79))</f>
        <v>222.33330074798</v>
      </c>
      <c r="F80" s="16" t="n">
        <f aca="false">IF(E80="","",D80-E80)</f>
        <v>4.01569612113497</v>
      </c>
      <c r="G80" s="16" t="n">
        <f aca="false">IF(A80&lt;N_len+N_sen-1,"",IF(A80=N_len+N_sen-1,AVERAGE($F$9:F80),a_sen*F80+(1-a_sen)*G79))</f>
        <v>5.93541854662651</v>
      </c>
      <c r="H80" s="16" t="n">
        <f aca="false">IF(G80="","",F80-G80)</f>
        <v>-1.91972242549154</v>
      </c>
      <c r="I80" s="11" t="str">
        <f aca="false">IF(OR(H80="",H79=""),"",IF(AND(H79&lt;=0,H80&gt;0),"Cruce alcista",IF(AND(H79&gt;=0,H80&lt;0),"Cruce bajista","")))</f>
        <v/>
      </c>
      <c r="J80" s="11" t="str">
        <f aca="false">IF(F80="","",IF(F80&gt;0,"Arriba de 0","Debajo de 0"))</f>
        <v>Arriba de 0</v>
      </c>
      <c r="K80" s="11" t="str">
        <f aca="false">IF(OR(F80="",F79=""),"",IF(ABS(F80)&lt;ABS(F79),"Convergen","Divergen"))</f>
        <v>Convergen</v>
      </c>
      <c r="L80" s="17" t="n">
        <f aca="false">IF(F80="","",F80/E80)</f>
        <v>0.0180616043913586</v>
      </c>
    </row>
    <row r="81" customFormat="false" ht="15" hidden="false" customHeight="false" outlineLevel="0" collapsed="false">
      <c r="A81" s="11" t="n">
        <f aca="false">ROW()-8</f>
        <v>73</v>
      </c>
      <c r="B81" s="14" t="n">
        <f aca="false">Datos!A74</f>
        <v>46059</v>
      </c>
      <c r="C81" s="15" t="n">
        <f aca="false">Datos!B74</f>
        <v>226.19</v>
      </c>
      <c r="D81" s="16" t="n">
        <f aca="false">IF(A81&lt;N_rap,"",IF(A81=N_rap,AVERAGE($C$9:C81),a_rap*C81+(1-a_rap)*D80))</f>
        <v>226.324535812328</v>
      </c>
      <c r="E81" s="16" t="n">
        <f aca="false">IF(A81&lt;N_len,"",IF(A81=N_len,AVERAGE($C$9:C81),a_len*C81+(1-a_len)*E80))</f>
        <v>222.618982174056</v>
      </c>
      <c r="F81" s="16" t="n">
        <f aca="false">IF(E81="","",D81-E81)</f>
        <v>3.70555363827248</v>
      </c>
      <c r="G81" s="16" t="n">
        <f aca="false">IF(A81&lt;N_len+N_sen-1,"",IF(A81=N_len+N_sen-1,AVERAGE($F$9:F81),a_sen*F81+(1-a_sen)*G80))</f>
        <v>5.4894455649557</v>
      </c>
      <c r="H81" s="16" t="n">
        <f aca="false">IF(G81="","",F81-G81)</f>
        <v>-1.78389192668322</v>
      </c>
      <c r="I81" s="11" t="str">
        <f aca="false">IF(OR(H81="",H80=""),"",IF(AND(H80&lt;=0,H81&gt;0),"Cruce alcista",IF(AND(H80&gt;=0,H81&lt;0),"Cruce bajista","")))</f>
        <v/>
      </c>
      <c r="J81" s="11" t="str">
        <f aca="false">IF(F81="","",IF(F81&gt;0,"Arriba de 0","Debajo de 0"))</f>
        <v>Arriba de 0</v>
      </c>
      <c r="K81" s="11" t="str">
        <f aca="false">IF(OR(F81="",F80=""),"",IF(ABS(F81)&lt;ABS(F80),"Convergen","Divergen"))</f>
        <v>Convergen</v>
      </c>
      <c r="L81" s="17" t="n">
        <f aca="false">IF(F81="","",F81/E81)</f>
        <v>0.0166452725732762</v>
      </c>
    </row>
    <row r="82" customFormat="false" ht="15" hidden="false" customHeight="false" outlineLevel="0" collapsed="false">
      <c r="A82" s="11" t="n">
        <f aca="false">ROW()-8</f>
        <v>74</v>
      </c>
      <c r="B82" s="14" t="n">
        <f aca="false">Datos!A75</f>
        <v>46066</v>
      </c>
      <c r="C82" s="15" t="n">
        <f aca="false">Datos!B75</f>
        <v>221.38</v>
      </c>
      <c r="D82" s="16" t="n">
        <f aca="false">IF(A82&lt;N_rap,"",IF(A82=N_rap,AVERAGE($C$9:C82),a_rap*C82+(1-a_rap)*D81))</f>
        <v>225.563837995047</v>
      </c>
      <c r="E82" s="16" t="n">
        <f aca="false">IF(A82&lt;N_len,"",IF(A82=N_len,AVERAGE($C$9:C82),a_len*C82+(1-a_len)*E81))</f>
        <v>222.527205716719</v>
      </c>
      <c r="F82" s="16" t="n">
        <f aca="false">IF(E82="","",D82-E82)</f>
        <v>3.03663227832863</v>
      </c>
      <c r="G82" s="16" t="n">
        <f aca="false">IF(A82&lt;N_len+N_sen-1,"",IF(A82=N_len+N_sen-1,AVERAGE($F$9:F82),a_sen*F82+(1-a_sen)*G81))</f>
        <v>4.99888290763029</v>
      </c>
      <c r="H82" s="16" t="n">
        <f aca="false">IF(G82="","",F82-G82)</f>
        <v>-1.96225062930166</v>
      </c>
      <c r="I82" s="11" t="str">
        <f aca="false">IF(OR(H82="",H81=""),"",IF(AND(H81&lt;=0,H82&gt;0),"Cruce alcista",IF(AND(H81&gt;=0,H82&lt;0),"Cruce bajista","")))</f>
        <v/>
      </c>
      <c r="J82" s="11" t="str">
        <f aca="false">IF(F82="","",IF(F82&gt;0,"Arriba de 0","Debajo de 0"))</f>
        <v>Arriba de 0</v>
      </c>
      <c r="K82" s="11" t="str">
        <f aca="false">IF(OR(F82="",F81=""),"",IF(ABS(F82)&lt;ABS(F81),"Convergen","Divergen"))</f>
        <v>Convergen</v>
      </c>
      <c r="L82" s="17" t="n">
        <f aca="false">IF(F82="","",F82/E82)</f>
        <v>0.013646116970499</v>
      </c>
    </row>
    <row r="83" customFormat="false" ht="15" hidden="false" customHeight="false" outlineLevel="0" collapsed="false">
      <c r="A83" s="11" t="n">
        <f aca="false">ROW()-8</f>
        <v>75</v>
      </c>
      <c r="B83" s="14" t="n">
        <f aca="false">Datos!A76</f>
        <v>46073</v>
      </c>
      <c r="C83" s="15" t="n">
        <f aca="false">Datos!B76</f>
        <v>238.67</v>
      </c>
      <c r="D83" s="16" t="n">
        <f aca="false">IF(A83&lt;N_rap,"",IF(A83=N_rap,AVERAGE($C$9:C83),a_rap*C83+(1-a_rap)*D82))</f>
        <v>227.580170611194</v>
      </c>
      <c r="E83" s="16" t="n">
        <f aca="false">IF(A83&lt;N_len,"",IF(A83=N_len,AVERAGE($C$9:C83),a_len*C83+(1-a_len)*E82))</f>
        <v>223.722968256221</v>
      </c>
      <c r="F83" s="16" t="n">
        <f aca="false">IF(E83="","",D83-E83)</f>
        <v>3.85720235497286</v>
      </c>
      <c r="G83" s="16" t="n">
        <f aca="false">IF(A83&lt;N_len+N_sen-1,"",IF(A83=N_len+N_sen-1,AVERAGE($F$9:F83),a_sen*F83+(1-a_sen)*G82))</f>
        <v>4.7705467970988</v>
      </c>
      <c r="H83" s="16" t="n">
        <f aca="false">IF(G83="","",F83-G83)</f>
        <v>-0.913344442125944</v>
      </c>
      <c r="I83" s="11" t="str">
        <f aca="false">IF(OR(H83="",H82=""),"",IF(AND(H82&lt;=0,H83&gt;0),"Cruce alcista",IF(AND(H82&gt;=0,H83&lt;0),"Cruce bajista","")))</f>
        <v/>
      </c>
      <c r="J83" s="11" t="str">
        <f aca="false">IF(F83="","",IF(F83&gt;0,"Arriba de 0","Debajo de 0"))</f>
        <v>Arriba de 0</v>
      </c>
      <c r="K83" s="11" t="str">
        <f aca="false">IF(OR(F83="",F82=""),"",IF(ABS(F83)&lt;ABS(F82),"Convergen","Divergen"))</f>
        <v>Divergen</v>
      </c>
      <c r="L83" s="17" t="n">
        <f aca="false">IF(F83="","",F83/E83)</f>
        <v>0.0172409761279198</v>
      </c>
    </row>
    <row r="84" customFormat="false" ht="15" hidden="false" customHeight="false" outlineLevel="0" collapsed="false">
      <c r="A84" s="11" t="n">
        <f aca="false">ROW()-8</f>
        <v>76</v>
      </c>
      <c r="B84" s="14" t="n">
        <f aca="false">Datos!A77</f>
        <v>46080</v>
      </c>
      <c r="C84" s="15" t="n">
        <f aca="false">Datos!B77</f>
        <v>244.47</v>
      </c>
      <c r="D84" s="16" t="n">
        <f aca="false">IF(A84&lt;N_rap,"",IF(A84=N_rap,AVERAGE($C$9:C84),a_rap*C84+(1-a_rap)*D83))</f>
        <v>230.178605901779</v>
      </c>
      <c r="E84" s="16" t="n">
        <f aca="false">IF(A84&lt;N_len,"",IF(A84=N_len,AVERAGE($C$9:C84),a_len*C84+(1-a_len)*E83))</f>
        <v>225.259785422427</v>
      </c>
      <c r="F84" s="16" t="n">
        <f aca="false">IF(E84="","",D84-E84)</f>
        <v>4.9188204793526</v>
      </c>
      <c r="G84" s="16" t="n">
        <f aca="false">IF(A84&lt;N_len+N_sen-1,"",IF(A84=N_len+N_sen-1,AVERAGE($F$9:F84),a_sen*F84+(1-a_sen)*G83))</f>
        <v>4.80020153354956</v>
      </c>
      <c r="H84" s="16" t="n">
        <f aca="false">IF(G84="","",F84-G84)</f>
        <v>0.118618945803043</v>
      </c>
      <c r="I84" s="11" t="str">
        <f aca="false">IF(OR(H84="",H83=""),"",IF(AND(H83&lt;=0,H84&gt;0),"Cruce alcista",IF(AND(H83&gt;=0,H84&lt;0),"Cruce bajista","")))</f>
        <v>Cruce alcista</v>
      </c>
      <c r="J84" s="11" t="str">
        <f aca="false">IF(F84="","",IF(F84&gt;0,"Arriba de 0","Debajo de 0"))</f>
        <v>Arriba de 0</v>
      </c>
      <c r="K84" s="11" t="str">
        <f aca="false">IF(OR(F84="",F83=""),"",IF(ABS(F84)&lt;ABS(F83),"Convergen","Divergen"))</f>
        <v>Divergen</v>
      </c>
      <c r="L84" s="17" t="n">
        <f aca="false">IF(F84="","",F84/E84)</f>
        <v>0.0218362122210514</v>
      </c>
    </row>
    <row r="85" customFormat="false" ht="15" hidden="false" customHeight="false" outlineLevel="0" collapsed="false">
      <c r="A85" s="11" t="n">
        <f aca="false">ROW()-8</f>
        <v>77</v>
      </c>
      <c r="B85" s="14" t="n">
        <f aca="false">Datos!A78</f>
        <v>46087</v>
      </c>
      <c r="C85" s="15" t="n">
        <f aca="false">Datos!B78</f>
        <v>241.48</v>
      </c>
      <c r="D85" s="16" t="n">
        <f aca="false">IF(A85&lt;N_rap,"",IF(A85=N_rap,AVERAGE($C$9:C85),a_rap*C85+(1-a_rap)*D84))</f>
        <v>231.91728191689</v>
      </c>
      <c r="E85" s="16" t="n">
        <f aca="false">IF(A85&lt;N_len,"",IF(A85=N_len,AVERAGE($C$9:C85),a_len*C85+(1-a_len)*E84))</f>
        <v>226.461282798543</v>
      </c>
      <c r="F85" s="16" t="n">
        <f aca="false">IF(E85="","",D85-E85)</f>
        <v>5.45599911834691</v>
      </c>
      <c r="G85" s="16" t="n">
        <f aca="false">IF(A85&lt;N_len+N_sen-1,"",IF(A85=N_len+N_sen-1,AVERAGE($F$9:F85),a_sen*F85+(1-a_sen)*G84))</f>
        <v>4.93136105050903</v>
      </c>
      <c r="H85" s="16" t="n">
        <f aca="false">IF(G85="","",F85-G85)</f>
        <v>0.524638067837878</v>
      </c>
      <c r="I85" s="11" t="str">
        <f aca="false">IF(OR(H85="",H84=""),"",IF(AND(H84&lt;=0,H85&gt;0),"Cruce alcista",IF(AND(H84&gt;=0,H85&lt;0),"Cruce bajista","")))</f>
        <v/>
      </c>
      <c r="J85" s="11" t="str">
        <f aca="false">IF(F85="","",IF(F85&gt;0,"Arriba de 0","Debajo de 0"))</f>
        <v>Arriba de 0</v>
      </c>
      <c r="K85" s="11" t="str">
        <f aca="false">IF(OR(F85="",F84=""),"",IF(ABS(F85)&lt;ABS(F84),"Convergen","Divergen"))</f>
        <v>Divergen</v>
      </c>
      <c r="L85" s="17" t="n">
        <f aca="false">IF(F85="","",F85/E85)</f>
        <v>0.0240924146102294</v>
      </c>
    </row>
    <row r="86" customFormat="false" ht="15" hidden="false" customHeight="false" outlineLevel="0" collapsed="false">
      <c r="A86" s="11" t="n">
        <f aca="false">ROW()-8</f>
        <v>78</v>
      </c>
      <c r="B86" s="14" t="n">
        <f aca="false">Datos!A79</f>
        <v>46094</v>
      </c>
      <c r="C86" s="15" t="n">
        <f aca="false">Datos!B79</f>
        <v>238.58</v>
      </c>
      <c r="D86" s="16" t="n">
        <f aca="false">IF(A86&lt;N_rap,"",IF(A86=N_rap,AVERAGE($C$9:C86),a_rap*C86+(1-a_rap)*D85))</f>
        <v>232.942315468138</v>
      </c>
      <c r="E86" s="16" t="n">
        <f aca="false">IF(A86&lt;N_len,"",IF(A86=N_len,AVERAGE($C$9:C86),a_len*C86+(1-a_len)*E85))</f>
        <v>227.358965554207</v>
      </c>
      <c r="F86" s="16" t="n">
        <f aca="false">IF(E86="","",D86-E86)</f>
        <v>5.58334991393113</v>
      </c>
      <c r="G86" s="16" t="n">
        <f aca="false">IF(A86&lt;N_len+N_sen-1,"",IF(A86=N_len+N_sen-1,AVERAGE($F$9:F86),a_sen*F86+(1-a_sen)*G85))</f>
        <v>5.06175882319345</v>
      </c>
      <c r="H86" s="16" t="n">
        <f aca="false">IF(G86="","",F86-G86)</f>
        <v>0.521591090737679</v>
      </c>
      <c r="I86" s="11" t="str">
        <f aca="false">IF(OR(H86="",H85=""),"",IF(AND(H85&lt;=0,H86&gt;0),"Cruce alcista",IF(AND(H85&gt;=0,H86&lt;0),"Cruce bajista","")))</f>
        <v/>
      </c>
      <c r="J86" s="11" t="str">
        <f aca="false">IF(F86="","",IF(F86&gt;0,"Arriba de 0","Debajo de 0"))</f>
        <v>Arriba de 0</v>
      </c>
      <c r="K86" s="11" t="str">
        <f aca="false">IF(OR(F86="",F85=""),"",IF(ABS(F86)&lt;ABS(F85),"Convergen","Divergen"))</f>
        <v>Divergen</v>
      </c>
      <c r="L86" s="17" t="n">
        <f aca="false">IF(F86="","",F86/E86)</f>
        <v>0.0245574213461134</v>
      </c>
    </row>
    <row r="87" customFormat="false" ht="15" hidden="false" customHeight="false" outlineLevel="0" collapsed="false">
      <c r="A87" s="11" t="n">
        <f aca="false">ROW()-8</f>
        <v>79</v>
      </c>
      <c r="B87" s="14" t="n">
        <f aca="false">Datos!A80</f>
        <v>46101</v>
      </c>
      <c r="C87" s="15" t="n">
        <f aca="false">Datos!B80</f>
        <v>238.2</v>
      </c>
      <c r="D87" s="16" t="n">
        <f aca="false">IF(A87&lt;N_rap,"",IF(A87=N_rap,AVERAGE($C$9:C87),a_rap*C87+(1-a_rap)*D86))</f>
        <v>233.751190011501</v>
      </c>
      <c r="E87" s="16" t="n">
        <f aca="false">IF(A87&lt;N_len,"",IF(A87=N_len,AVERAGE($C$9:C87),a_len*C87+(1-a_len)*E86))</f>
        <v>228.162005142784</v>
      </c>
      <c r="F87" s="16" t="n">
        <f aca="false">IF(E87="","",D87-E87)</f>
        <v>5.58918486871724</v>
      </c>
      <c r="G87" s="16" t="n">
        <f aca="false">IF(A87&lt;N_len+N_sen-1,"",IF(A87=N_len+N_sen-1,AVERAGE($F$9:F87),a_sen*F87+(1-a_sen)*G86))</f>
        <v>5.16724403229821</v>
      </c>
      <c r="H87" s="16" t="n">
        <f aca="false">IF(G87="","",F87-G87)</f>
        <v>0.42194083641903</v>
      </c>
      <c r="I87" s="11" t="str">
        <f aca="false">IF(OR(H87="",H86=""),"",IF(AND(H86&lt;=0,H87&gt;0),"Cruce alcista",IF(AND(H86&gt;=0,H87&lt;0),"Cruce bajista","")))</f>
        <v/>
      </c>
      <c r="J87" s="11" t="str">
        <f aca="false">IF(F87="","",IF(F87&gt;0,"Arriba de 0","Debajo de 0"))</f>
        <v>Arriba de 0</v>
      </c>
      <c r="K87" s="11" t="str">
        <f aca="false">IF(OR(F87="",F86=""),"",IF(ABS(F87)&lt;ABS(F86),"Convergen","Divergen"))</f>
        <v>Divergen</v>
      </c>
      <c r="L87" s="17" t="n">
        <f aca="false">IF(F87="","",F87/E87)</f>
        <v>0.0244965627174407</v>
      </c>
    </row>
    <row r="88" customFormat="false" ht="15" hidden="false" customHeight="false" outlineLevel="0" collapsed="false">
      <c r="A88" s="11" t="n">
        <f aca="false">ROW()-8</f>
        <v>80</v>
      </c>
      <c r="B88" s="14" t="n">
        <f aca="false">Datos!A81</f>
        <v>46108</v>
      </c>
      <c r="C88" s="15" t="n">
        <f aca="false">Datos!B81</f>
        <v>232.42</v>
      </c>
      <c r="D88" s="16" t="n">
        <f aca="false">IF(A88&lt;N_rap,"",IF(A88=N_rap,AVERAGE($C$9:C88),a_rap*C88+(1-a_rap)*D87))</f>
        <v>233.546391548193</v>
      </c>
      <c r="E88" s="16" t="n">
        <f aca="false">IF(A88&lt;N_len,"",IF(A88=N_len,AVERAGE($C$9:C88),a_len*C88+(1-a_len)*E87))</f>
        <v>228.477412169244</v>
      </c>
      <c r="F88" s="16" t="n">
        <f aca="false">IF(E88="","",D88-E88)</f>
        <v>5.06897937894891</v>
      </c>
      <c r="G88" s="16" t="n">
        <f aca="false">IF(A88&lt;N_len+N_sen-1,"",IF(A88=N_len+N_sen-1,AVERAGE($F$9:F88),a_sen*F88+(1-a_sen)*G87))</f>
        <v>5.14759110162835</v>
      </c>
      <c r="H88" s="16" t="n">
        <f aca="false">IF(G88="","",F88-G88)</f>
        <v>-0.0786117226794394</v>
      </c>
      <c r="I88" s="11" t="str">
        <f aca="false">IF(OR(H88="",H87=""),"",IF(AND(H87&lt;=0,H88&gt;0),"Cruce alcista",IF(AND(H87&gt;=0,H88&lt;0),"Cruce bajista","")))</f>
        <v>Cruce bajista</v>
      </c>
      <c r="J88" s="11" t="str">
        <f aca="false">IF(F88="","",IF(F88&gt;0,"Arriba de 0","Debajo de 0"))</f>
        <v>Arriba de 0</v>
      </c>
      <c r="K88" s="11" t="str">
        <f aca="false">IF(OR(F88="",F87=""),"",IF(ABS(F88)&lt;ABS(F87),"Convergen","Divergen"))</f>
        <v>Convergen</v>
      </c>
      <c r="L88" s="17" t="n">
        <f aca="false">IF(F88="","",F88/E88)</f>
        <v>0.022185910330576</v>
      </c>
    </row>
    <row r="89" customFormat="false" ht="15" hidden="false" customHeight="false" outlineLevel="0" collapsed="false">
      <c r="A89" s="11" t="n">
        <f aca="false">ROW()-8</f>
        <v>81</v>
      </c>
      <c r="B89" s="14" t="n">
        <f aca="false">Datos!A82</f>
        <v>46115</v>
      </c>
      <c r="C89" s="15" t="n">
        <f aca="false">Datos!B82</f>
        <v>241.28</v>
      </c>
      <c r="D89" s="16" t="n">
        <f aca="false">IF(A89&lt;N_rap,"",IF(A89=N_rap,AVERAGE($C$9:C89),a_rap*C89+(1-a_rap)*D88))</f>
        <v>234.736177463856</v>
      </c>
      <c r="E89" s="16" t="n">
        <f aca="false">IF(A89&lt;N_len,"",IF(A89=N_len,AVERAGE($C$9:C89),a_len*C89+(1-a_len)*E88))</f>
        <v>229.42575200856</v>
      </c>
      <c r="F89" s="16" t="n">
        <f aca="false">IF(E89="","",D89-E89)</f>
        <v>5.31042545529624</v>
      </c>
      <c r="G89" s="16" t="n">
        <f aca="false">IF(A89&lt;N_len+N_sen-1,"",IF(A89=N_len+N_sen-1,AVERAGE($F$9:F89),a_sen*F89+(1-a_sen)*G88))</f>
        <v>5.18015797236193</v>
      </c>
      <c r="H89" s="16" t="n">
        <f aca="false">IF(G89="","",F89-G89)</f>
        <v>0.130267482934313</v>
      </c>
      <c r="I89" s="11" t="str">
        <f aca="false">IF(OR(H89="",H88=""),"",IF(AND(H88&lt;=0,H89&gt;0),"Cruce alcista",IF(AND(H88&gt;=0,H89&lt;0),"Cruce bajista","")))</f>
        <v>Cruce alcista</v>
      </c>
      <c r="J89" s="11" t="str">
        <f aca="false">IF(F89="","",IF(F89&gt;0,"Arriba de 0","Debajo de 0"))</f>
        <v>Arriba de 0</v>
      </c>
      <c r="K89" s="11" t="str">
        <f aca="false">IF(OR(F89="",F88=""),"",IF(ABS(F89)&lt;ABS(F88),"Convergen","Divergen"))</f>
        <v>Divergen</v>
      </c>
      <c r="L89" s="17" t="n">
        <f aca="false">IF(F89="","",F89/E89)</f>
        <v>0.0231465971400548</v>
      </c>
    </row>
    <row r="90" customFormat="false" ht="15" hidden="false" customHeight="false" outlineLevel="0" collapsed="false">
      <c r="A90" s="11" t="n">
        <f aca="false">ROW()-8</f>
        <v>82</v>
      </c>
      <c r="B90" s="14" t="n">
        <f aca="false">Datos!A83</f>
        <v>46122</v>
      </c>
      <c r="C90" s="15" t="n">
        <f aca="false">Datos!B83</f>
        <v>242.81</v>
      </c>
      <c r="D90" s="16" t="n">
        <f aca="false">IF(A90&lt;N_rap,"",IF(A90=N_rap,AVERAGE($C$9:C90),a_rap*C90+(1-a_rap)*D89))</f>
        <v>235.978304007878</v>
      </c>
      <c r="E90" s="16" t="n">
        <f aca="false">IF(A90&lt;N_len,"",IF(A90=N_len,AVERAGE($C$9:C90),a_len*C90+(1-a_len)*E89))</f>
        <v>230.417177785703</v>
      </c>
      <c r="F90" s="16" t="n">
        <f aca="false">IF(E90="","",D90-E90)</f>
        <v>5.56112622217469</v>
      </c>
      <c r="G90" s="16" t="n">
        <f aca="false">IF(A90&lt;N_len+N_sen-1,"",IF(A90=N_len+N_sen-1,AVERAGE($F$9:F90),a_sen*F90+(1-a_sen)*G89))</f>
        <v>5.25635162232448</v>
      </c>
      <c r="H90" s="16" t="n">
        <f aca="false">IF(G90="","",F90-G90)</f>
        <v>0.304774599850212</v>
      </c>
      <c r="I90" s="11" t="str">
        <f aca="false">IF(OR(H90="",H89=""),"",IF(AND(H89&lt;=0,H90&gt;0),"Cruce alcista",IF(AND(H89&gt;=0,H90&lt;0),"Cruce bajista","")))</f>
        <v/>
      </c>
      <c r="J90" s="11" t="str">
        <f aca="false">IF(F90="","",IF(F90&gt;0,"Arriba de 0","Debajo de 0"))</f>
        <v>Arriba de 0</v>
      </c>
      <c r="K90" s="11" t="str">
        <f aca="false">IF(OR(F90="",F89=""),"",IF(ABS(F90)&lt;ABS(F89),"Convergen","Divergen"))</f>
        <v>Divergen</v>
      </c>
      <c r="L90" s="17" t="n">
        <f aca="false">IF(F90="","",F90/E90)</f>
        <v>0.024135033141265</v>
      </c>
    </row>
    <row r="91" customFormat="false" ht="15" hidden="false" customHeight="false" outlineLevel="0" collapsed="false">
      <c r="A91" s="11" t="n">
        <f aca="false">ROW()-8</f>
        <v>83</v>
      </c>
      <c r="B91" s="14" t="n">
        <f aca="false">Datos!A84</f>
        <v>46129</v>
      </c>
      <c r="C91" s="15" t="n">
        <f aca="false">Datos!B84</f>
        <v>242.67</v>
      </c>
      <c r="D91" s="16" t="n">
        <f aca="false">IF(A91&lt;N_rap,"",IF(A91=N_rap,AVERAGE($C$9:C91),a_rap*C91+(1-a_rap)*D90))</f>
        <v>237.007795698974</v>
      </c>
      <c r="E91" s="16" t="n">
        <f aca="false">IF(A91&lt;N_len,"",IF(A91=N_len,AVERAGE($C$9:C91),a_len*C91+(1-a_len)*E90))</f>
        <v>231.324794246022</v>
      </c>
      <c r="F91" s="16" t="n">
        <f aca="false">IF(E91="","",D91-E91)</f>
        <v>5.68300145295208</v>
      </c>
      <c r="G91" s="16" t="n">
        <f aca="false">IF(A91&lt;N_len+N_sen-1,"",IF(A91=N_len+N_sen-1,AVERAGE($F$9:F91),a_sen*F91+(1-a_sen)*G90))</f>
        <v>5.34168158845</v>
      </c>
      <c r="H91" s="16" t="n">
        <f aca="false">IF(G91="","",F91-G91)</f>
        <v>0.341319864502082</v>
      </c>
      <c r="I91" s="11" t="str">
        <f aca="false">IF(OR(H91="",H90=""),"",IF(AND(H90&lt;=0,H91&gt;0),"Cruce alcista",IF(AND(H90&gt;=0,H91&lt;0),"Cruce bajista","")))</f>
        <v/>
      </c>
      <c r="J91" s="11" t="str">
        <f aca="false">IF(F91="","",IF(F91&gt;0,"Arriba de 0","Debajo de 0"))</f>
        <v>Arriba de 0</v>
      </c>
      <c r="K91" s="11" t="str">
        <f aca="false">IF(OR(F91="",F90=""),"",IF(ABS(F91)&lt;ABS(F90),"Convergen","Divergen"))</f>
        <v>Divergen</v>
      </c>
      <c r="L91" s="17" t="n">
        <f aca="false">IF(F91="","",F91/E91)</f>
        <v>0.0245671955376648</v>
      </c>
    </row>
    <row r="92" customFormat="false" ht="15" hidden="false" customHeight="false" outlineLevel="0" collapsed="false">
      <c r="A92" s="11" t="n">
        <f aca="false">ROW()-8</f>
        <v>84</v>
      </c>
      <c r="B92" s="14" t="n">
        <f aca="false">Datos!A85</f>
        <v>46136</v>
      </c>
      <c r="C92" s="15" t="n">
        <f aca="false">Datos!B85</f>
        <v>232.49</v>
      </c>
      <c r="D92" s="16" t="n">
        <f aca="false">IF(A92&lt;N_rap,"",IF(A92=N_rap,AVERAGE($C$9:C92),a_rap*C92+(1-a_rap)*D91))</f>
        <v>236.312750206824</v>
      </c>
      <c r="E92" s="16" t="n">
        <f aca="false">IF(A92&lt;N_len,"",IF(A92=N_len,AVERAGE($C$9:C92),a_len*C92+(1-a_len)*E91))</f>
        <v>231.411105783353</v>
      </c>
      <c r="F92" s="16" t="n">
        <f aca="false">IF(E92="","",D92-E92)</f>
        <v>4.90164442347054</v>
      </c>
      <c r="G92" s="16" t="n">
        <f aca="false">IF(A92&lt;N_len+N_sen-1,"",IF(A92=N_len+N_sen-1,AVERAGE($F$9:F92),a_sen*F92+(1-a_sen)*G91))</f>
        <v>5.25367415545411</v>
      </c>
      <c r="H92" s="16" t="n">
        <f aca="false">IF(G92="","",F92-G92)</f>
        <v>-0.352029731983567</v>
      </c>
      <c r="I92" s="11" t="str">
        <f aca="false">IF(OR(H92="",H91=""),"",IF(AND(H91&lt;=0,H92&gt;0),"Cruce alcista",IF(AND(H91&gt;=0,H92&lt;0),"Cruce bajista","")))</f>
        <v>Cruce bajista</v>
      </c>
      <c r="J92" s="11" t="str">
        <f aca="false">IF(F92="","",IF(F92&gt;0,"Arriba de 0","Debajo de 0"))</f>
        <v>Arriba de 0</v>
      </c>
      <c r="K92" s="11" t="str">
        <f aca="false">IF(OR(F92="",F91=""),"",IF(ABS(F92)&lt;ABS(F91),"Convergen","Divergen"))</f>
        <v>Convergen</v>
      </c>
      <c r="L92" s="17" t="n">
        <f aca="false">IF(F92="","",F92/E92)</f>
        <v>0.0211815435861555</v>
      </c>
    </row>
    <row r="93" customFormat="false" ht="15" hidden="false" customHeight="false" outlineLevel="0" collapsed="false">
      <c r="A93" s="11" t="n">
        <f aca="false">ROW()-8</f>
        <v>85</v>
      </c>
      <c r="B93" s="14" t="n">
        <f aca="false">Datos!A86</f>
        <v>46143</v>
      </c>
      <c r="C93" s="15" t="n">
        <f aca="false">Datos!B86</f>
        <v>226.97</v>
      </c>
      <c r="D93" s="16" t="n">
        <f aca="false">IF(A93&lt;N_rap,"",IF(A93=N_rap,AVERAGE($C$9:C93),a_rap*C93+(1-a_rap)*D92))</f>
        <v>234.875404021159</v>
      </c>
      <c r="E93" s="16" t="n">
        <f aca="false">IF(A93&lt;N_len,"",IF(A93=N_len,AVERAGE($C$9:C93),a_len*C93+(1-a_len)*E92))</f>
        <v>231.082134984586</v>
      </c>
      <c r="F93" s="16" t="n">
        <f aca="false">IF(E93="","",D93-E93)</f>
        <v>3.79326903657227</v>
      </c>
      <c r="G93" s="16" t="n">
        <f aca="false">IF(A93&lt;N_len+N_sen-1,"",IF(A93=N_len+N_sen-1,AVERAGE($F$9:F93),a_sen*F93+(1-a_sen)*G92))</f>
        <v>4.96159313167774</v>
      </c>
      <c r="H93" s="16" t="n">
        <f aca="false">IF(G93="","",F93-G93)</f>
        <v>-1.16832409510547</v>
      </c>
      <c r="I93" s="11" t="str">
        <f aca="false">IF(OR(H93="",H92=""),"",IF(AND(H92&lt;=0,H93&gt;0),"Cruce alcista",IF(AND(H92&gt;=0,H93&lt;0),"Cruce bajista","")))</f>
        <v/>
      </c>
      <c r="J93" s="11" t="str">
        <f aca="false">IF(F93="","",IF(F93&gt;0,"Arriba de 0","Debajo de 0"))</f>
        <v>Arriba de 0</v>
      </c>
      <c r="K93" s="11" t="str">
        <f aca="false">IF(OR(F93="",F92=""),"",IF(ABS(F93)&lt;ABS(F92),"Convergen","Divergen"))</f>
        <v>Convergen</v>
      </c>
      <c r="L93" s="17" t="n">
        <f aca="false">IF(F93="","",F93/E93)</f>
        <v>0.0164152414327715</v>
      </c>
    </row>
    <row r="94" customFormat="false" ht="15" hidden="false" customHeight="false" outlineLevel="0" collapsed="false">
      <c r="A94" s="11" t="n">
        <f aca="false">ROW()-8</f>
        <v>86</v>
      </c>
      <c r="B94" s="14" t="n">
        <f aca="false">Datos!A87</f>
        <v>46150</v>
      </c>
      <c r="C94" s="15" t="n">
        <f aca="false">Datos!B87</f>
        <v>220.67</v>
      </c>
      <c r="D94" s="16" t="n">
        <f aca="false">IF(A94&lt;N_rap,"",IF(A94=N_rap,AVERAGE($C$9:C94),a_rap*C94+(1-a_rap)*D93))</f>
        <v>232.689957248673</v>
      </c>
      <c r="E94" s="16" t="n">
        <f aca="false">IF(A94&lt;N_len,"",IF(A94=N_len,AVERAGE($C$9:C94),a_len*C94+(1-a_len)*E93))</f>
        <v>230.310865726469</v>
      </c>
      <c r="F94" s="16" t="n">
        <f aca="false">IF(E94="","",D94-E94)</f>
        <v>2.37909152220379</v>
      </c>
      <c r="G94" s="16" t="n">
        <f aca="false">IF(A94&lt;N_len+N_sen-1,"",IF(A94=N_len+N_sen-1,AVERAGE($F$9:F94),a_sen*F94+(1-a_sen)*G93))</f>
        <v>4.44509280978295</v>
      </c>
      <c r="H94" s="16" t="n">
        <f aca="false">IF(G94="","",F94-G94)</f>
        <v>-2.06600128757916</v>
      </c>
      <c r="I94" s="11" t="str">
        <f aca="false">IF(OR(H94="",H93=""),"",IF(AND(H93&lt;=0,H94&gt;0),"Cruce alcista",IF(AND(H93&gt;=0,H94&lt;0),"Cruce bajista","")))</f>
        <v/>
      </c>
      <c r="J94" s="11" t="str">
        <f aca="false">IF(F94="","",IF(F94&gt;0,"Arriba de 0","Debajo de 0"))</f>
        <v>Arriba de 0</v>
      </c>
      <c r="K94" s="11" t="str">
        <f aca="false">IF(OR(F94="",F93=""),"",IF(ABS(F94)&lt;ABS(F93),"Convergen","Divergen"))</f>
        <v>Convergen</v>
      </c>
      <c r="L94" s="17" t="n">
        <f aca="false">IF(F94="","",F94/E94)</f>
        <v>0.0103299143733381</v>
      </c>
    </row>
    <row r="95" customFormat="false" ht="15" hidden="false" customHeight="false" outlineLevel="0" collapsed="false">
      <c r="A95" s="11" t="n">
        <f aca="false">ROW()-8</f>
        <v>87</v>
      </c>
      <c r="B95" s="14" t="n">
        <f aca="false">Datos!A88</f>
        <v>46157</v>
      </c>
      <c r="C95" s="15" t="n">
        <f aca="false">Datos!B88</f>
        <v>212.34</v>
      </c>
      <c r="D95" s="16" t="n">
        <f aca="false">IF(A95&lt;N_rap,"",IF(A95=N_rap,AVERAGE($C$9:C95),a_rap*C95+(1-a_rap)*D94))</f>
        <v>229.559194595031</v>
      </c>
      <c r="E95" s="16" t="n">
        <f aca="false">IF(A95&lt;N_len,"",IF(A95=N_len,AVERAGE($C$9:C95),a_len*C95+(1-a_len)*E94))</f>
        <v>228.979690487471</v>
      </c>
      <c r="F95" s="16" t="n">
        <f aca="false">IF(E95="","",D95-E95)</f>
        <v>0.579504107559529</v>
      </c>
      <c r="G95" s="16" t="n">
        <f aca="false">IF(A95&lt;N_len+N_sen-1,"",IF(A95=N_len+N_sen-1,AVERAGE($F$9:F95),a_sen*F95+(1-a_sen)*G94))</f>
        <v>3.67197506933827</v>
      </c>
      <c r="H95" s="16" t="n">
        <f aca="false">IF(G95="","",F95-G95)</f>
        <v>-3.09247096177874</v>
      </c>
      <c r="I95" s="11" t="str">
        <f aca="false">IF(OR(H95="",H94=""),"",IF(AND(H94&lt;=0,H95&gt;0),"Cruce alcista",IF(AND(H94&gt;=0,H95&lt;0),"Cruce bajista","")))</f>
        <v/>
      </c>
      <c r="J95" s="11" t="str">
        <f aca="false">IF(F95="","",IF(F95&gt;0,"Arriba de 0","Debajo de 0"))</f>
        <v>Arriba de 0</v>
      </c>
      <c r="K95" s="11" t="str">
        <f aca="false">IF(OR(F95="",F94=""),"",IF(ABS(F95)&lt;ABS(F94),"Convergen","Divergen"))</f>
        <v>Convergen</v>
      </c>
      <c r="L95" s="17" t="n">
        <f aca="false">IF(F95="","",F95/E95)</f>
        <v>0.00253081007457837</v>
      </c>
    </row>
    <row r="96" customFormat="false" ht="15" hidden="false" customHeight="false" outlineLevel="0" collapsed="false">
      <c r="A96" s="11" t="n">
        <f aca="false">ROW()-8</f>
        <v>88</v>
      </c>
      <c r="B96" s="14" t="n">
        <f aca="false">Datos!A89</f>
        <v>46164</v>
      </c>
      <c r="C96" s="15" t="n">
        <f aca="false">Datos!B89</f>
        <v>217.64</v>
      </c>
      <c r="D96" s="16" t="n">
        <f aca="false">IF(A96&lt;N_rap,"",IF(A96=N_rap,AVERAGE($C$9:C96),a_rap*C96+(1-a_rap)*D95))</f>
        <v>227.725472349641</v>
      </c>
      <c r="E96" s="16" t="n">
        <f aca="false">IF(A96&lt;N_len,"",IF(A96=N_len,AVERAGE($C$9:C96),a_len*C96+(1-a_len)*E95))</f>
        <v>228.139713414325</v>
      </c>
      <c r="F96" s="16" t="n">
        <f aca="false">IF(E96="","",D96-E96)</f>
        <v>-0.414241064683836</v>
      </c>
      <c r="G96" s="16" t="n">
        <f aca="false">IF(A96&lt;N_len+N_sen-1,"",IF(A96=N_len+N_sen-1,AVERAGE($F$9:F96),a_sen*F96+(1-a_sen)*G95))</f>
        <v>2.85473184253385</v>
      </c>
      <c r="H96" s="16" t="n">
        <f aca="false">IF(G96="","",F96-G96)</f>
        <v>-3.26897290721768</v>
      </c>
      <c r="I96" s="11" t="str">
        <f aca="false">IF(OR(H96="",H95=""),"",IF(AND(H95&lt;=0,H96&gt;0),"Cruce alcista",IF(AND(H95&gt;=0,H96&lt;0),"Cruce bajista","")))</f>
        <v/>
      </c>
      <c r="J96" s="11" t="str">
        <f aca="false">IF(F96="","",IF(F96&gt;0,"Arriba de 0","Debajo de 0"))</f>
        <v>Debajo de 0</v>
      </c>
      <c r="K96" s="11" t="str">
        <f aca="false">IF(OR(F96="",F95=""),"",IF(ABS(F96)&lt;ABS(F95),"Convergen","Divergen"))</f>
        <v>Convergen</v>
      </c>
      <c r="L96" s="17" t="n">
        <f aca="false">IF(F96="","",F96/E96)</f>
        <v>-0.0018157341327572</v>
      </c>
    </row>
    <row r="97" customFormat="false" ht="15" hidden="false" customHeight="false" outlineLevel="0" collapsed="false">
      <c r="A97" s="11" t="n">
        <f aca="false">ROW()-8</f>
        <v>89</v>
      </c>
      <c r="B97" s="14" t="n">
        <f aca="false">Datos!A90</f>
        <v>46171</v>
      </c>
      <c r="C97" s="15" t="n">
        <f aca="false">Datos!B90</f>
        <v>225.44</v>
      </c>
      <c r="D97" s="16" t="n">
        <f aca="false">IF(A97&lt;N_rap,"",IF(A97=N_rap,AVERAGE($C$9:C97),a_rap*C97+(1-a_rap)*D96))</f>
        <v>227.373861218927</v>
      </c>
      <c r="E97" s="16" t="n">
        <f aca="false">IF(A97&lt;N_len,"",IF(A97=N_len,AVERAGE($C$9:C97),a_len*C97+(1-a_len)*E96))</f>
        <v>227.939734642894</v>
      </c>
      <c r="F97" s="16" t="n">
        <f aca="false">IF(E97="","",D97-E97)</f>
        <v>-0.565873423966394</v>
      </c>
      <c r="G97" s="16" t="n">
        <f aca="false">IF(A97&lt;N_len+N_sen-1,"",IF(A97=N_len+N_sen-1,AVERAGE($F$9:F97),a_sen*F97+(1-a_sen)*G96))</f>
        <v>2.1706107892338</v>
      </c>
      <c r="H97" s="16" t="n">
        <f aca="false">IF(G97="","",F97-G97)</f>
        <v>-2.73648421320019</v>
      </c>
      <c r="I97" s="11" t="str">
        <f aca="false">IF(OR(H97="",H96=""),"",IF(AND(H96&lt;=0,H97&gt;0),"Cruce alcista",IF(AND(H96&gt;=0,H97&lt;0),"Cruce bajista","")))</f>
        <v/>
      </c>
      <c r="J97" s="11" t="str">
        <f aca="false">IF(F97="","",IF(F97&gt;0,"Arriba de 0","Debajo de 0"))</f>
        <v>Debajo de 0</v>
      </c>
      <c r="K97" s="11" t="str">
        <f aca="false">IF(OR(F97="",F96=""),"",IF(ABS(F97)&lt;ABS(F96),"Convergen","Divergen"))</f>
        <v>Divergen</v>
      </c>
      <c r="L97" s="17" t="n">
        <f aca="false">IF(F97="","",F97/E97)</f>
        <v>-0.0024825571761454</v>
      </c>
    </row>
    <row r="98" customFormat="false" ht="15" hidden="false" customHeight="false" outlineLevel="0" collapsed="false">
      <c r="A98" s="11" t="n">
        <f aca="false">ROW()-8</f>
        <v>90</v>
      </c>
      <c r="B98" s="14" t="n">
        <f aca="false">Datos!A91</f>
        <v>46178</v>
      </c>
      <c r="C98" s="15" t="n">
        <f aca="false">Datos!B91</f>
        <v>232.31</v>
      </c>
      <c r="D98" s="16" t="n">
        <f aca="false">IF(A98&lt;N_rap,"",IF(A98=N_rap,AVERAGE($C$9:C98),a_rap*C98+(1-a_rap)*D97))</f>
        <v>228.133267185246</v>
      </c>
      <c r="E98" s="16" t="n">
        <f aca="false">IF(A98&lt;N_len,"",IF(A98=N_len,AVERAGE($C$9:C98),a_len*C98+(1-a_len)*E97))</f>
        <v>228.263458002679</v>
      </c>
      <c r="F98" s="16" t="n">
        <f aca="false">IF(E98="","",D98-E98)</f>
        <v>-0.130190817433174</v>
      </c>
      <c r="G98" s="16" t="n">
        <f aca="false">IF(A98&lt;N_len+N_sen-1,"",IF(A98=N_len+N_sen-1,AVERAGE($F$9:F98),a_sen*F98+(1-a_sen)*G97))</f>
        <v>1.71045046790041</v>
      </c>
      <c r="H98" s="16" t="n">
        <f aca="false">IF(G98="","",F98-G98)</f>
        <v>-1.84064128533358</v>
      </c>
      <c r="I98" s="11" t="str">
        <f aca="false">IF(OR(H98="",H97=""),"",IF(AND(H97&lt;=0,H98&gt;0),"Cruce alcista",IF(AND(H97&gt;=0,H98&lt;0),"Cruce bajista","")))</f>
        <v/>
      </c>
      <c r="J98" s="11" t="str">
        <f aca="false">IF(F98="","",IF(F98&gt;0,"Arriba de 0","Debajo de 0"))</f>
        <v>Debajo de 0</v>
      </c>
      <c r="K98" s="11" t="str">
        <f aca="false">IF(OR(F98="",F97=""),"",IF(ABS(F98)&lt;ABS(F97),"Convergen","Divergen"))</f>
        <v>Convergen</v>
      </c>
      <c r="L98" s="17" t="n">
        <f aca="false">IF(F98="","",F98/E98)</f>
        <v>-0.000570353303907479</v>
      </c>
    </row>
    <row r="99" customFormat="false" ht="15" hidden="false" customHeight="false" outlineLevel="0" collapsed="false">
      <c r="A99" s="11" t="n">
        <f aca="false">ROW()-8</f>
        <v>91</v>
      </c>
      <c r="B99" s="14" t="n">
        <f aca="false">Datos!A92</f>
        <v>46185</v>
      </c>
      <c r="C99" s="15" t="n">
        <f aca="false">Datos!B92</f>
        <v>225.72</v>
      </c>
      <c r="D99" s="16" t="n">
        <f aca="false">IF(A99&lt;N_rap,"",IF(A99=N_rap,AVERAGE($C$9:C99),a_rap*C99+(1-a_rap)*D98))</f>
        <v>227.761995310593</v>
      </c>
      <c r="E99" s="16" t="n">
        <f aca="false">IF(A99&lt;N_len,"",IF(A99=N_len,AVERAGE($C$9:C99),a_len*C99+(1-a_len)*E98))</f>
        <v>228.075053706185</v>
      </c>
      <c r="F99" s="16" t="n">
        <f aca="false">IF(E99="","",D99-E99)</f>
        <v>-0.313058395591639</v>
      </c>
      <c r="G99" s="16" t="n">
        <f aca="false">IF(A99&lt;N_len+N_sen-1,"",IF(A99=N_len+N_sen-1,AVERAGE($F$9:F99),a_sen*F99+(1-a_sen)*G98))</f>
        <v>1.305748695202</v>
      </c>
      <c r="H99" s="16" t="n">
        <f aca="false">IF(G99="","",F99-G99)</f>
        <v>-1.61880709079364</v>
      </c>
      <c r="I99" s="11" t="str">
        <f aca="false">IF(OR(H99="",H98=""),"",IF(AND(H98&lt;=0,H99&gt;0),"Cruce alcista",IF(AND(H98&gt;=0,H99&lt;0),"Cruce bajista","")))</f>
        <v/>
      </c>
      <c r="J99" s="11" t="str">
        <f aca="false">IF(F99="","",IF(F99&gt;0,"Arriba de 0","Debajo de 0"))</f>
        <v>Debajo de 0</v>
      </c>
      <c r="K99" s="11" t="str">
        <f aca="false">IF(OR(F99="",F98=""),"",IF(ABS(F99)&lt;ABS(F98),"Convergen","Divergen"))</f>
        <v>Divergen</v>
      </c>
      <c r="L99" s="17" t="n">
        <f aca="false">IF(F99="","",F99/E99)</f>
        <v>-0.00137261129836205</v>
      </c>
    </row>
    <row r="100" customFormat="false" ht="15" hidden="false" customHeight="false" outlineLevel="0" collapsed="false">
      <c r="A100" s="11" t="n">
        <f aca="false">ROW()-8</f>
        <v>92</v>
      </c>
      <c r="B100" s="14" t="n">
        <f aca="false">Datos!A93</f>
        <v>46192</v>
      </c>
      <c r="C100" s="15" t="n">
        <f aca="false">Datos!B93</f>
        <v>218.44</v>
      </c>
      <c r="D100" s="16" t="n">
        <f aca="false">IF(A100&lt;N_rap,"",IF(A100=N_rap,AVERAGE($C$9:C100),a_rap*C100+(1-a_rap)*D99))</f>
        <v>226.327842185886</v>
      </c>
      <c r="E100" s="16" t="n">
        <f aca="false">IF(A100&lt;N_len,"",IF(A100=N_len,AVERAGE($C$9:C100),a_len*C100+(1-a_len)*E99))</f>
        <v>227.361346024245</v>
      </c>
      <c r="F100" s="16" t="n">
        <f aca="false">IF(E100="","",D100-E100)</f>
        <v>-1.03350383835863</v>
      </c>
      <c r="G100" s="16" t="n">
        <f aca="false">IF(A100&lt;N_len+N_sen-1,"",IF(A100=N_len+N_sen-1,AVERAGE($F$9:F100),a_sen*F100+(1-a_sen)*G99))</f>
        <v>0.837898188489872</v>
      </c>
      <c r="H100" s="16" t="n">
        <f aca="false">IF(G100="","",F100-G100)</f>
        <v>-1.8714020268485</v>
      </c>
      <c r="I100" s="11" t="str">
        <f aca="false">IF(OR(H100="",H99=""),"",IF(AND(H99&lt;=0,H100&gt;0),"Cruce alcista",IF(AND(H99&gt;=0,H100&lt;0),"Cruce bajista","")))</f>
        <v/>
      </c>
      <c r="J100" s="11" t="str">
        <f aca="false">IF(F100="","",IF(F100&gt;0,"Arriba de 0","Debajo de 0"))</f>
        <v>Debajo de 0</v>
      </c>
      <c r="K100" s="11" t="str">
        <f aca="false">IF(OR(F100="",F99=""),"",IF(ABS(F100)&lt;ABS(F99),"Convergen","Divergen"))</f>
        <v>Divergen</v>
      </c>
      <c r="L100" s="17" t="n">
        <f aca="false">IF(F100="","",F100/E100)</f>
        <v>-0.00454564443970356</v>
      </c>
    </row>
    <row r="101" customFormat="false" ht="15" hidden="false" customHeight="false" outlineLevel="0" collapsed="false">
      <c r="A101" s="11" t="n">
        <f aca="false">ROW()-8</f>
        <v>93</v>
      </c>
      <c r="B101" s="14" t="n">
        <f aca="false">Datos!A94</f>
        <v>46199</v>
      </c>
      <c r="C101" s="15" t="n">
        <f aca="false">Datos!B94</f>
        <v>222.1</v>
      </c>
      <c r="D101" s="16" t="n">
        <f aca="false">IF(A101&lt;N_rap,"",IF(A101=N_rap,AVERAGE($C$9:C101),a_rap*C101+(1-a_rap)*D100))</f>
        <v>225.677404926519</v>
      </c>
      <c r="E101" s="16" t="n">
        <f aca="false">IF(A101&lt;N_len,"",IF(A101=N_len,AVERAGE($C$9:C101),a_len*C101+(1-a_len)*E100))</f>
        <v>226.971616689116</v>
      </c>
      <c r="F101" s="16" t="n">
        <f aca="false">IF(E101="","",D101-E101)</f>
        <v>-1.29421176259649</v>
      </c>
      <c r="G101" s="16" t="n">
        <f aca="false">IF(A101&lt;N_len+N_sen-1,"",IF(A101=N_len+N_sen-1,AVERAGE($F$9:F101),a_sen*F101+(1-a_sen)*G100))</f>
        <v>0.4114761982726</v>
      </c>
      <c r="H101" s="16" t="n">
        <f aca="false">IF(G101="","",F101-G101)</f>
        <v>-1.70568796086909</v>
      </c>
      <c r="I101" s="11" t="str">
        <f aca="false">IF(OR(H101="",H100=""),"",IF(AND(H100&lt;=0,H101&gt;0),"Cruce alcista",IF(AND(H100&gt;=0,H101&lt;0),"Cruce bajista","")))</f>
        <v/>
      </c>
      <c r="J101" s="11" t="str">
        <f aca="false">IF(F101="","",IF(F101&gt;0,"Arriba de 0","Debajo de 0"))</f>
        <v>Debajo de 0</v>
      </c>
      <c r="K101" s="11" t="str">
        <f aca="false">IF(OR(F101="",F100=""),"",IF(ABS(F101)&lt;ABS(F100),"Convergen","Divergen"))</f>
        <v>Divergen</v>
      </c>
      <c r="L101" s="17" t="n">
        <f aca="false">IF(F101="","",F101/E101)</f>
        <v>-0.00570208637306919</v>
      </c>
    </row>
    <row r="102" customFormat="false" ht="15" hidden="false" customHeight="false" outlineLevel="0" collapsed="false">
      <c r="A102" s="11" t="n">
        <f aca="false">ROW()-8</f>
        <v>94</v>
      </c>
      <c r="B102" s="14" t="n">
        <f aca="false">Datos!A95</f>
        <v>46206</v>
      </c>
      <c r="C102" s="15" t="n">
        <f aca="false">Datos!B95</f>
        <v>224.43</v>
      </c>
      <c r="D102" s="16" t="n">
        <f aca="false">IF(A102&lt;N_rap,"",IF(A102=N_rap,AVERAGE($C$9:C102),a_rap*C102+(1-a_rap)*D101))</f>
        <v>225.485496476286</v>
      </c>
      <c r="E102" s="16" t="n">
        <f aca="false">IF(A102&lt;N_len,"",IF(A102=N_len,AVERAGE($C$9:C102),a_len*C102+(1-a_len)*E101))</f>
        <v>226.783348786218</v>
      </c>
      <c r="F102" s="16" t="n">
        <f aca="false">IF(E102="","",D102-E102)</f>
        <v>-1.29785230993272</v>
      </c>
      <c r="G102" s="16" t="n">
        <f aca="false">IF(A102&lt;N_len+N_sen-1,"",IF(A102=N_len+N_sen-1,AVERAGE($F$9:F102),a_sen*F102+(1-a_sen)*G101))</f>
        <v>0.0696104966315353</v>
      </c>
      <c r="H102" s="16" t="n">
        <f aca="false">IF(G102="","",F102-G102)</f>
        <v>-1.36746280656426</v>
      </c>
      <c r="I102" s="11" t="str">
        <f aca="false">IF(OR(H102="",H101=""),"",IF(AND(H101&lt;=0,H102&gt;0),"Cruce alcista",IF(AND(H101&gt;=0,H102&lt;0),"Cruce bajista","")))</f>
        <v/>
      </c>
      <c r="J102" s="11" t="str">
        <f aca="false">IF(F102="","",IF(F102&gt;0,"Arriba de 0","Debajo de 0"))</f>
        <v>Debajo de 0</v>
      </c>
      <c r="K102" s="11" t="str">
        <f aca="false">IF(OR(F102="",F101=""),"",IF(ABS(F102)&lt;ABS(F101),"Convergen","Divergen"))</f>
        <v>Divergen</v>
      </c>
      <c r="L102" s="17" t="n">
        <f aca="false">IF(F102="","",F102/E102)</f>
        <v>-0.00572287302784371</v>
      </c>
    </row>
    <row r="103" customFormat="false" ht="15" hidden="false" customHeight="false" outlineLevel="0" collapsed="false">
      <c r="A103" s="11" t="n">
        <f aca="false">ROW()-8</f>
        <v>95</v>
      </c>
      <c r="B103" s="14" t="n">
        <f aca="false">Datos!A96</f>
        <v>46213</v>
      </c>
      <c r="C103" s="15" t="n">
        <f aca="false">Datos!B96</f>
        <v>222.12</v>
      </c>
      <c r="D103" s="16" t="n">
        <f aca="false">IF(A103&lt;N_rap,"",IF(A103=N_rap,AVERAGE($C$9:C103),a_rap*C103+(1-a_rap)*D102))</f>
        <v>224.967727787626</v>
      </c>
      <c r="E103" s="16" t="n">
        <f aca="false">IF(A103&lt;N_len,"",IF(A103=N_len,AVERAGE($C$9:C103),a_len*C103+(1-a_len)*E102))</f>
        <v>226.437915542795</v>
      </c>
      <c r="F103" s="16" t="n">
        <f aca="false">IF(E103="","",D103-E103)</f>
        <v>-1.47018775516844</v>
      </c>
      <c r="G103" s="16" t="n">
        <f aca="false">IF(A103&lt;N_len+N_sen-1,"",IF(A103=N_len+N_sen-1,AVERAGE($F$9:F103),a_sen*F103+(1-a_sen)*G102))</f>
        <v>-0.23834915372846</v>
      </c>
      <c r="H103" s="16" t="n">
        <f aca="false">IF(G103="","",F103-G103)</f>
        <v>-1.23183860143998</v>
      </c>
      <c r="I103" s="11" t="str">
        <f aca="false">IF(OR(H103="",H102=""),"",IF(AND(H102&lt;=0,H103&gt;0),"Cruce alcista",IF(AND(H102&gt;=0,H103&lt;0),"Cruce bajista","")))</f>
        <v/>
      </c>
      <c r="J103" s="11" t="str">
        <f aca="false">IF(F103="","",IF(F103&gt;0,"Arriba de 0","Debajo de 0"))</f>
        <v>Debajo de 0</v>
      </c>
      <c r="K103" s="11" t="str">
        <f aca="false">IF(OR(F103="",F102=""),"",IF(ABS(F103)&lt;ABS(F102),"Convergen","Divergen"))</f>
        <v>Divergen</v>
      </c>
      <c r="L103" s="17" t="n">
        <f aca="false">IF(F103="","",F103/E103)</f>
        <v>-0.00649267483161665</v>
      </c>
    </row>
    <row r="104" customFormat="false" ht="15" hidden="false" customHeight="false" outlineLevel="0" collapsed="false">
      <c r="A104" s="11" t="n">
        <f aca="false">ROW()-8</f>
        <v>96</v>
      </c>
      <c r="B104" s="14" t="n">
        <f aca="false">Datos!A97</f>
        <v>46220</v>
      </c>
      <c r="C104" s="15" t="n">
        <f aca="false">Datos!B97</f>
        <v>216.6</v>
      </c>
      <c r="D104" s="16" t="n">
        <f aca="false">IF(A104&lt;N_rap,"",IF(A104=N_rap,AVERAGE($C$9:C104),a_rap*C104+(1-a_rap)*D103))</f>
        <v>223.680385051068</v>
      </c>
      <c r="E104" s="16" t="n">
        <f aca="false">IF(A104&lt;N_len,"",IF(A104=N_len,AVERAGE($C$9:C104),a_len*C104+(1-a_len)*E103))</f>
        <v>225.709181058143</v>
      </c>
      <c r="F104" s="16" t="n">
        <f aca="false">IF(E104="","",D104-E104)</f>
        <v>-2.02879600707485</v>
      </c>
      <c r="G104" s="16" t="n">
        <f aca="false">IF(A104&lt;N_len+N_sen-1,"",IF(A104=N_len+N_sen-1,AVERAGE($F$9:F104),a_sen*F104+(1-a_sen)*G103))</f>
        <v>-0.596438524397737</v>
      </c>
      <c r="H104" s="16" t="n">
        <f aca="false">IF(G104="","",F104-G104)</f>
        <v>-1.43235748267711</v>
      </c>
      <c r="I104" s="11" t="str">
        <f aca="false">IF(OR(H104="",H103=""),"",IF(AND(H103&lt;=0,H104&gt;0),"Cruce alcista",IF(AND(H103&gt;=0,H104&lt;0),"Cruce bajista","")))</f>
        <v/>
      </c>
      <c r="J104" s="11" t="str">
        <f aca="false">IF(F104="","",IF(F104&gt;0,"Arriba de 0","Debajo de 0"))</f>
        <v>Debajo de 0</v>
      </c>
      <c r="K104" s="11" t="str">
        <f aca="false">IF(OR(F104="",F103=""),"",IF(ABS(F104)&lt;ABS(F103),"Convergen","Divergen"))</f>
        <v>Divergen</v>
      </c>
      <c r="L104" s="17" t="n">
        <f aca="false">IF(F104="","",F104/E104)</f>
        <v>-0.00898854002111781</v>
      </c>
    </row>
    <row r="105" customFormat="false" ht="15" hidden="false" customHeight="false" outlineLevel="0" collapsed="false">
      <c r="A105" s="11" t="n">
        <f aca="false">ROW()-8</f>
        <v>97</v>
      </c>
      <c r="B105" s="14" t="n">
        <f aca="false">Datos!A98</f>
        <v>46227</v>
      </c>
      <c r="C105" s="15" t="n">
        <f aca="false">Datos!B98</f>
        <v>210.71</v>
      </c>
      <c r="D105" s="16" t="n">
        <f aca="false">IF(A105&lt;N_rap,"",IF(A105=N_rap,AVERAGE($C$9:C105),a_rap*C105+(1-a_rap)*D104))</f>
        <v>221.684941197058</v>
      </c>
      <c r="E105" s="16" t="n">
        <f aca="false">IF(A105&lt;N_len,"",IF(A105=N_len,AVERAGE($C$9:C105),a_len*C105+(1-a_len)*E104))</f>
        <v>224.598130609392</v>
      </c>
      <c r="F105" s="16" t="n">
        <f aca="false">IF(E105="","",D105-E105)</f>
        <v>-2.91318941233402</v>
      </c>
      <c r="G105" s="16" t="n">
        <f aca="false">IF(A105&lt;N_len+N_sen-1,"",IF(A105=N_len+N_sen-1,AVERAGE($F$9:F105),a_sen*F105+(1-a_sen)*G104))</f>
        <v>-1.05978870198499</v>
      </c>
      <c r="H105" s="16" t="n">
        <f aca="false">IF(G105="","",F105-G105)</f>
        <v>-1.85340071034903</v>
      </c>
      <c r="I105" s="11" t="str">
        <f aca="false">IF(OR(H105="",H104=""),"",IF(AND(H104&lt;=0,H105&gt;0),"Cruce alcista",IF(AND(H104&gt;=0,H105&lt;0),"Cruce bajista","")))</f>
        <v/>
      </c>
      <c r="J105" s="11" t="str">
        <f aca="false">IF(F105="","",IF(F105&gt;0,"Arriba de 0","Debajo de 0"))</f>
        <v>Debajo de 0</v>
      </c>
      <c r="K105" s="11" t="str">
        <f aca="false">IF(OR(F105="",F104=""),"",IF(ABS(F105)&lt;ABS(F104),"Convergen","Divergen"))</f>
        <v>Divergen</v>
      </c>
      <c r="L105" s="17" t="n">
        <f aca="false">IF(F105="","",F105/E105)</f>
        <v>-0.0129706752430655</v>
      </c>
    </row>
    <row r="106" customFormat="false" ht="15" hidden="false" customHeight="false" outlineLevel="0" collapsed="false">
      <c r="A106" s="11" t="n">
        <f aca="false">ROW()-8</f>
        <v>98</v>
      </c>
      <c r="B106" s="14" t="n">
        <f aca="false">Datos!A99</f>
        <v>46234</v>
      </c>
      <c r="C106" s="15" t="n">
        <f aca="false">Datos!B99</f>
        <v>210.84</v>
      </c>
      <c r="D106" s="16" t="n">
        <f aca="false">IF(A106&lt;N_rap,"",IF(A106=N_rap,AVERAGE($C$9:C106),a_rap*C106+(1-a_rap)*D105))</f>
        <v>220.016488705203</v>
      </c>
      <c r="E106" s="16" t="n">
        <f aca="false">IF(A106&lt;N_len,"",IF(A106=N_len,AVERAGE($C$9:C106),a_len*C106+(1-a_len)*E105))</f>
        <v>223.579009823511</v>
      </c>
      <c r="F106" s="16" t="n">
        <f aca="false">IF(E106="","",D106-E106)</f>
        <v>-3.56252111830818</v>
      </c>
      <c r="G106" s="16" t="n">
        <f aca="false">IF(A106&lt;N_len+N_sen-1,"",IF(A106=N_len+N_sen-1,AVERAGE($F$9:F106),a_sen*F106+(1-a_sen)*G105))</f>
        <v>-1.56033518524963</v>
      </c>
      <c r="H106" s="16" t="n">
        <f aca="false">IF(G106="","",F106-G106)</f>
        <v>-2.00218593305855</v>
      </c>
      <c r="I106" s="11" t="str">
        <f aca="false">IF(OR(H106="",H105=""),"",IF(AND(H105&lt;=0,H106&gt;0),"Cruce alcista",IF(AND(H105&gt;=0,H106&lt;0),"Cruce bajista","")))</f>
        <v/>
      </c>
      <c r="J106" s="11" t="str">
        <f aca="false">IF(F106="","",IF(F106&gt;0,"Arriba de 0","Debajo de 0"))</f>
        <v>Debajo de 0</v>
      </c>
      <c r="K106" s="11" t="str">
        <f aca="false">IF(OR(F106="",F105=""),"",IF(ABS(F106)&lt;ABS(F105),"Convergen","Divergen"))</f>
        <v>Divergen</v>
      </c>
      <c r="L106" s="17" t="n">
        <f aca="false">IF(F106="","",F106/E106)</f>
        <v>-0.0159340589312045</v>
      </c>
    </row>
    <row r="107" customFormat="false" ht="15" hidden="false" customHeight="false" outlineLevel="0" collapsed="false">
      <c r="A107" s="11" t="n">
        <f aca="false">ROW()-8</f>
        <v>99</v>
      </c>
      <c r="B107" s="14" t="n">
        <f aca="false">Datos!A100</f>
        <v>46241</v>
      </c>
      <c r="C107" s="15" t="n">
        <f aca="false">Datos!B100</f>
        <v>206.07</v>
      </c>
      <c r="D107" s="16" t="n">
        <f aca="false">IF(A107&lt;N_rap,"",IF(A107=N_rap,AVERAGE($C$9:C107),a_rap*C107+(1-a_rap)*D106))</f>
        <v>217.870875058249</v>
      </c>
      <c r="E107" s="16" t="n">
        <f aca="false">IF(A107&lt;N_len,"",IF(A107=N_len,AVERAGE($C$9:C107),a_len*C107+(1-a_len)*E106))</f>
        <v>222.282046132881</v>
      </c>
      <c r="F107" s="16" t="n">
        <f aca="false">IF(E107="","",D107-E107)</f>
        <v>-4.41117107463202</v>
      </c>
      <c r="G107" s="16" t="n">
        <f aca="false">IF(A107&lt;N_len+N_sen-1,"",IF(A107=N_len+N_sen-1,AVERAGE($F$9:F107),a_sen*F107+(1-a_sen)*G106))</f>
        <v>-2.13050236312611</v>
      </c>
      <c r="H107" s="16" t="n">
        <f aca="false">IF(G107="","",F107-G107)</f>
        <v>-2.28066871150591</v>
      </c>
      <c r="I107" s="11" t="str">
        <f aca="false">IF(OR(H107="",H106=""),"",IF(AND(H106&lt;=0,H107&gt;0),"Cruce alcista",IF(AND(H106&gt;=0,H107&lt;0),"Cruce bajista","")))</f>
        <v/>
      </c>
      <c r="J107" s="11" t="str">
        <f aca="false">IF(F107="","",IF(F107&gt;0,"Arriba de 0","Debajo de 0"))</f>
        <v>Debajo de 0</v>
      </c>
      <c r="K107" s="11" t="str">
        <f aca="false">IF(OR(F107="",F106=""),"",IF(ABS(F107)&lt;ABS(F106),"Convergen","Divergen"))</f>
        <v>Divergen</v>
      </c>
      <c r="L107" s="17" t="n">
        <f aca="false">IF(F107="","",F107/E107)</f>
        <v>-0.0198449274305988</v>
      </c>
    </row>
    <row r="108" customFormat="false" ht="15" hidden="false" customHeight="false" outlineLevel="0" collapsed="false">
      <c r="A108" s="11" t="n">
        <f aca="false">ROW()-8</f>
        <v>100</v>
      </c>
      <c r="B108" s="14" t="n">
        <f aca="false">Datos!A101</f>
        <v>46248</v>
      </c>
      <c r="C108" s="15" t="n">
        <f aca="false">Datos!B101</f>
        <v>207.56</v>
      </c>
      <c r="D108" s="16" t="n">
        <f aca="false">IF(A108&lt;N_rap,"",IF(A108=N_rap,AVERAGE($C$9:C108),a_rap*C108+(1-a_rap)*D107))</f>
        <v>216.284586587749</v>
      </c>
      <c r="E108" s="16" t="n">
        <f aca="false">IF(A108&lt;N_len,"",IF(A108=N_len,AVERAGE($C$9:C108),a_len*C108+(1-a_len)*E107))</f>
        <v>221.191524197112</v>
      </c>
      <c r="F108" s="16" t="n">
        <f aca="false">IF(E108="","",D108-E108)</f>
        <v>-4.90693760936287</v>
      </c>
      <c r="G108" s="16" t="n">
        <f aca="false">IF(A108&lt;N_len+N_sen-1,"",IF(A108=N_len+N_sen-1,AVERAGE($F$9:F108),a_sen*F108+(1-a_sen)*G107))</f>
        <v>-2.68578941237346</v>
      </c>
      <c r="H108" s="16" t="n">
        <f aca="false">IF(G108="","",F108-G108)</f>
        <v>-2.22114819698941</v>
      </c>
      <c r="I108" s="11" t="str">
        <f aca="false">IF(OR(H108="",H107=""),"",IF(AND(H107&lt;=0,H108&gt;0),"Cruce alcista",IF(AND(H107&gt;=0,H108&lt;0),"Cruce bajista","")))</f>
        <v/>
      </c>
      <c r="J108" s="11" t="str">
        <f aca="false">IF(F108="","",IF(F108&gt;0,"Arriba de 0","Debajo de 0"))</f>
        <v>Debajo de 0</v>
      </c>
      <c r="K108" s="11" t="str">
        <f aca="false">IF(OR(F108="",F107=""),"",IF(ABS(F108)&lt;ABS(F107),"Convergen","Divergen"))</f>
        <v>Divergen</v>
      </c>
      <c r="L108" s="17" t="n">
        <f aca="false">IF(F108="","",F108/E108)</f>
        <v>-0.0221841122853791</v>
      </c>
    </row>
    <row r="109" customFormat="false" ht="15" hidden="false" customHeight="false" outlineLevel="0" collapsed="false">
      <c r="A109" s="11" t="n">
        <f aca="false">ROW()-8</f>
        <v>101</v>
      </c>
      <c r="B109" s="14" t="n">
        <f aca="false">Datos!A102</f>
        <v>46255</v>
      </c>
      <c r="C109" s="15" t="n">
        <f aca="false">Datos!B102</f>
        <v>200.85</v>
      </c>
      <c r="D109" s="16" t="n">
        <f aca="false">IF(A109&lt;N_rap,"",IF(A109=N_rap,AVERAGE($C$9:C109),a_rap*C109+(1-a_rap)*D108))</f>
        <v>213.910034805018</v>
      </c>
      <c r="E109" s="16" t="n">
        <f aca="false">IF(A109&lt;N_len,"",IF(A109=N_len,AVERAGE($C$9:C109),a_len*C109+(1-a_len)*E108))</f>
        <v>219.684744626955</v>
      </c>
      <c r="F109" s="16" t="n">
        <f aca="false">IF(E109="","",D109-E109)</f>
        <v>-5.77470982193702</v>
      </c>
      <c r="G109" s="16" t="n">
        <f aca="false">IF(A109&lt;N_len+N_sen-1,"",IF(A109=N_len+N_sen-1,AVERAGE($F$9:F109),a_sen*F109+(1-a_sen)*G108))</f>
        <v>-3.30357349428617</v>
      </c>
      <c r="H109" s="16" t="n">
        <f aca="false">IF(G109="","",F109-G109)</f>
        <v>-2.47113632765085</v>
      </c>
      <c r="I109" s="11" t="str">
        <f aca="false">IF(OR(H109="",H108=""),"",IF(AND(H108&lt;=0,H109&gt;0),"Cruce alcista",IF(AND(H108&gt;=0,H109&lt;0),"Cruce bajista","")))</f>
        <v/>
      </c>
      <c r="J109" s="11" t="str">
        <f aca="false">IF(F109="","",IF(F109&gt;0,"Arriba de 0","Debajo de 0"))</f>
        <v>Debajo de 0</v>
      </c>
      <c r="K109" s="11" t="str">
        <f aca="false">IF(OR(F109="",F108=""),"",IF(ABS(F109)&lt;ABS(F108),"Convergen","Divergen"))</f>
        <v>Divergen</v>
      </c>
      <c r="L109" s="17" t="n">
        <f aca="false">IF(F109="","",F109/E109)</f>
        <v>-0.0262863487937818</v>
      </c>
    </row>
    <row r="110" customFormat="false" ht="15" hidden="false" customHeight="false" outlineLevel="0" collapsed="false">
      <c r="A110" s="11" t="n">
        <f aca="false">ROW()-8</f>
        <v>102</v>
      </c>
      <c r="B110" s="14" t="n">
        <f aca="false">Datos!A103</f>
        <v>46262</v>
      </c>
      <c r="C110" s="15" t="n">
        <f aca="false">Datos!B103</f>
        <v>199.64</v>
      </c>
      <c r="D110" s="16" t="n">
        <f aca="false">IF(A110&lt;N_rap,"",IF(A110=N_rap,AVERAGE($C$9:C110),a_rap*C110+(1-a_rap)*D109))</f>
        <v>211.714644835015</v>
      </c>
      <c r="E110" s="16" t="n">
        <f aca="false">IF(A110&lt;N_len,"",IF(A110=N_len,AVERAGE($C$9:C110),a_len*C110+(1-a_len)*E109))</f>
        <v>218.199948728662</v>
      </c>
      <c r="F110" s="16" t="n">
        <f aca="false">IF(E110="","",D110-E110)</f>
        <v>-6.48530389364683</v>
      </c>
      <c r="G110" s="16" t="n">
        <f aca="false">IF(A110&lt;N_len+N_sen-1,"",IF(A110=N_len+N_sen-1,AVERAGE($F$9:F110),a_sen*F110+(1-a_sen)*G109))</f>
        <v>-3.93991957415831</v>
      </c>
      <c r="H110" s="16" t="n">
        <f aca="false">IF(G110="","",F110-G110)</f>
        <v>-2.54538431948852</v>
      </c>
      <c r="I110" s="11" t="str">
        <f aca="false">IF(OR(H110="",H109=""),"",IF(AND(H109&lt;=0,H110&gt;0),"Cruce alcista",IF(AND(H109&gt;=0,H110&lt;0),"Cruce bajista","")))</f>
        <v/>
      </c>
      <c r="J110" s="11" t="str">
        <f aca="false">IF(F110="","",IF(F110&gt;0,"Arriba de 0","Debajo de 0"))</f>
        <v>Debajo de 0</v>
      </c>
      <c r="K110" s="11" t="str">
        <f aca="false">IF(OR(F110="",F109=""),"",IF(ABS(F110)&lt;ABS(F109),"Convergen","Divergen"))</f>
        <v>Divergen</v>
      </c>
      <c r="L110" s="17" t="n">
        <f aca="false">IF(F110="","",F110/E110)</f>
        <v>-0.0297218396770179</v>
      </c>
    </row>
    <row r="111" customFormat="false" ht="15" hidden="false" customHeight="false" outlineLevel="0" collapsed="false">
      <c r="A111" s="11" t="n">
        <f aca="false">ROW()-8</f>
        <v>103</v>
      </c>
      <c r="B111" s="14" t="n">
        <f aca="false">Datos!A104</f>
        <v>46269</v>
      </c>
      <c r="C111" s="15" t="n">
        <f aca="false">Datos!B104</f>
        <v>214.17</v>
      </c>
      <c r="D111" s="16" t="n">
        <f aca="false">IF(A111&lt;N_rap,"",IF(A111=N_rap,AVERAGE($C$9:C111),a_rap*C111+(1-a_rap)*D110))</f>
        <v>212.092391783475</v>
      </c>
      <c r="E111" s="16" t="n">
        <f aca="false">IF(A111&lt;N_len,"",IF(A111=N_len,AVERAGE($C$9:C111),a_len*C111+(1-a_len)*E110))</f>
        <v>217.901434008021</v>
      </c>
      <c r="F111" s="16" t="n">
        <f aca="false">IF(E111="","",D111-E111)</f>
        <v>-5.80904222454601</v>
      </c>
      <c r="G111" s="16" t="n">
        <f aca="false">IF(A111&lt;N_len+N_sen-1,"",IF(A111=N_len+N_sen-1,AVERAGE($F$9:F111),a_sen*F111+(1-a_sen)*G110))</f>
        <v>-4.31374410423585</v>
      </c>
      <c r="H111" s="16" t="n">
        <f aca="false">IF(G111="","",F111-G111)</f>
        <v>-1.49529812031016</v>
      </c>
      <c r="I111" s="11" t="str">
        <f aca="false">IF(OR(H111="",H110=""),"",IF(AND(H110&lt;=0,H111&gt;0),"Cruce alcista",IF(AND(H110&gt;=0,H111&lt;0),"Cruce bajista","")))</f>
        <v/>
      </c>
      <c r="J111" s="11" t="str">
        <f aca="false">IF(F111="","",IF(F111&gt;0,"Arriba de 0","Debajo de 0"))</f>
        <v>Debajo de 0</v>
      </c>
      <c r="K111" s="11" t="str">
        <f aca="false">IF(OR(F111="",F110=""),"",IF(ABS(F111)&lt;ABS(F110),"Convergen","Divergen"))</f>
        <v>Convergen</v>
      </c>
      <c r="L111" s="17" t="n">
        <f aca="false">IF(F111="","",F111/E111)</f>
        <v>-0.0266590362334751</v>
      </c>
    </row>
    <row r="112" customFormat="false" ht="15" hidden="false" customHeight="false" outlineLevel="0" collapsed="false">
      <c r="A112" s="11" t="n">
        <f aca="false">ROW()-8</f>
        <v>104</v>
      </c>
      <c r="B112" s="14" t="n">
        <f aca="false">Datos!A105</f>
        <v>46276</v>
      </c>
      <c r="C112" s="15" t="n">
        <f aca="false">Datos!B105</f>
        <v>218.77</v>
      </c>
      <c r="D112" s="16" t="n">
        <f aca="false">IF(A112&lt;N_rap,"",IF(A112=N_rap,AVERAGE($C$9:C112),a_rap*C112+(1-a_rap)*D111))</f>
        <v>213.119716124479</v>
      </c>
      <c r="E112" s="16" t="n">
        <f aca="false">IF(A112&lt;N_len,"",IF(A112=N_len,AVERAGE($C$9:C112),a_len*C112+(1-a_len)*E111))</f>
        <v>217.965772229649</v>
      </c>
      <c r="F112" s="16" t="n">
        <f aca="false">IF(E112="","",D112-E112)</f>
        <v>-4.84605610517019</v>
      </c>
      <c r="G112" s="16" t="n">
        <f aca="false">IF(A112&lt;N_len+N_sen-1,"",IF(A112=N_len+N_sen-1,AVERAGE($F$9:F112),a_sen*F112+(1-a_sen)*G111))</f>
        <v>-4.42020650442272</v>
      </c>
      <c r="H112" s="16" t="n">
        <f aca="false">IF(G112="","",F112-G112)</f>
        <v>-0.425849600747476</v>
      </c>
      <c r="I112" s="11" t="str">
        <f aca="false">IF(OR(H112="",H111=""),"",IF(AND(H111&lt;=0,H112&gt;0),"Cruce alcista",IF(AND(H111&gt;=0,H112&lt;0),"Cruce bajista","")))</f>
        <v/>
      </c>
      <c r="J112" s="11" t="str">
        <f aca="false">IF(F112="","",IF(F112&gt;0,"Arriba de 0","Debajo de 0"))</f>
        <v>Debajo de 0</v>
      </c>
      <c r="K112" s="11" t="str">
        <f aca="false">IF(OR(F112="",F111=""),"",IF(ABS(F112)&lt;ABS(F111),"Convergen","Divergen"))</f>
        <v>Convergen</v>
      </c>
      <c r="L112" s="17" t="n">
        <f aca="false">IF(F112="","",F112/E112)</f>
        <v>-0.022233105939516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B3" s="13" t="s">
        <v>59</v>
      </c>
    </row>
    <row r="4" customFormat="false" ht="15" hidden="false" customHeight="false" outlineLevel="0" collapsed="false">
      <c r="B4" s="13" t="s">
        <v>60</v>
      </c>
    </row>
    <row r="8" customFormat="false" ht="30" hidden="false" customHeight="true" outlineLevel="0" collapsed="false">
      <c r="A8" s="5" t="s">
        <v>48</v>
      </c>
      <c r="B8" s="5" t="s">
        <v>29</v>
      </c>
      <c r="C8" s="5" t="s">
        <v>30</v>
      </c>
      <c r="D8" s="5" t="s">
        <v>61</v>
      </c>
      <c r="E8" s="5" t="s">
        <v>62</v>
      </c>
      <c r="F8" s="5" t="s">
        <v>63</v>
      </c>
      <c r="G8" s="5" t="s">
        <v>64</v>
      </c>
      <c r="H8" s="5" t="s">
        <v>53</v>
      </c>
      <c r="I8" s="5" t="s">
        <v>54</v>
      </c>
      <c r="J8" s="5" t="s">
        <v>65</v>
      </c>
    </row>
    <row r="9" customFormat="false" ht="15" hidden="false" customHeight="false" outlineLevel="0" collapsed="false">
      <c r="A9" s="11" t="n">
        <f aca="false">ROW()-8</f>
        <v>1</v>
      </c>
      <c r="B9" s="14" t="n">
        <f aca="false">Datos!A2</f>
        <v>45555</v>
      </c>
      <c r="C9" s="15" t="n">
        <f aca="false">Datos!B2</f>
        <v>167.72</v>
      </c>
      <c r="D9" s="16" t="str">
        <f aca="false">IF(A9&lt;N_rap,"",AVERAGE(INDEX($C$9:$C$112,A9-N_rap+1):C9))</f>
        <v/>
      </c>
      <c r="E9" s="16" t="str">
        <f aca="false">IF(A9&lt;N_len,"",AVERAGE(INDEX($C$9:$C$112,A9-N_len+1):C9))</f>
        <v/>
      </c>
      <c r="F9" s="16" t="str">
        <f aca="false">IF(E9="","",D9-E9)</f>
        <v/>
      </c>
      <c r="G9" s="16" t="str">
        <f aca="false">IF(A9&lt;N_len+N_sen-1,"",AVERAGE(INDEX($F$9:$F$112,A9-N_sen+1):F9))</f>
        <v/>
      </c>
      <c r="H9" s="16" t="str">
        <f aca="false">IF(G9="","",F9-G9)</f>
        <v/>
      </c>
      <c r="I9" s="11" t="str">
        <f aca="false">IF(OR(H9="",H8=""),"",IF(AND(H8&lt;=0,H9&gt;0),"Cruce alcista",IF(AND(H8&gt;=0,H9&lt;0),"Cruce bajista","")))</f>
        <v/>
      </c>
      <c r="J9" s="18" t="str">
        <f aca="false">IF(OR(F9="",MACD_EMA!F9=""),"",F9-MACD_EMA!F9)</f>
        <v/>
      </c>
    </row>
    <row r="10" customFormat="false" ht="15" hidden="false" customHeight="false" outlineLevel="0" collapsed="false">
      <c r="A10" s="11" t="n">
        <f aca="false">ROW()-8</f>
        <v>2</v>
      </c>
      <c r="B10" s="14" t="n">
        <f aca="false">Datos!A3</f>
        <v>45562</v>
      </c>
      <c r="C10" s="15" t="n">
        <f aca="false">Datos!B3</f>
        <v>172.28</v>
      </c>
      <c r="D10" s="16" t="str">
        <f aca="false">IF(A10&lt;N_rap,"",AVERAGE(INDEX($C$9:$C$112,A10-N_rap+1):C10))</f>
        <v/>
      </c>
      <c r="E10" s="16" t="str">
        <f aca="false">IF(A10&lt;N_len,"",AVERAGE(INDEX($C$9:$C$112,A10-N_len+1):C10))</f>
        <v/>
      </c>
      <c r="F10" s="16" t="str">
        <f aca="false">IF(E10="","",D10-E10)</f>
        <v/>
      </c>
      <c r="G10" s="16" t="str">
        <f aca="false">IF(A10&lt;N_len+N_sen-1,"",AVERAGE(INDEX($F$9:$F$112,A10-N_sen+1):F10))</f>
        <v/>
      </c>
      <c r="H10" s="16" t="str">
        <f aca="false">IF(G10="","",F10-G10)</f>
        <v/>
      </c>
      <c r="I10" s="11" t="str">
        <f aca="false">IF(OR(H10="",H9=""),"",IF(AND(H9&lt;=0,H10&gt;0),"Cruce alcista",IF(AND(H9&gt;=0,H10&lt;0),"Cruce bajista","")))</f>
        <v/>
      </c>
      <c r="J10" s="18" t="str">
        <f aca="false">IF(OR(F10="",MACD_EMA!F10=""),"",F10-MACD_EMA!F10)</f>
        <v/>
      </c>
    </row>
    <row r="11" customFormat="false" ht="15" hidden="false" customHeight="false" outlineLevel="0" collapsed="false">
      <c r="A11" s="11" t="n">
        <f aca="false">ROW()-8</f>
        <v>3</v>
      </c>
      <c r="B11" s="14" t="n">
        <f aca="false">Datos!A4</f>
        <v>45569</v>
      </c>
      <c r="C11" s="15" t="n">
        <f aca="false">Datos!B4</f>
        <v>167.83</v>
      </c>
      <c r="D11" s="16" t="str">
        <f aca="false">IF(A11&lt;N_rap,"",AVERAGE(INDEX($C$9:$C$112,A11-N_rap+1):C11))</f>
        <v/>
      </c>
      <c r="E11" s="16" t="str">
        <f aca="false">IF(A11&lt;N_len,"",AVERAGE(INDEX($C$9:$C$112,A11-N_len+1):C11))</f>
        <v/>
      </c>
      <c r="F11" s="16" t="str">
        <f aca="false">IF(E11="","",D11-E11)</f>
        <v/>
      </c>
      <c r="G11" s="16" t="str">
        <f aca="false">IF(A11&lt;N_len+N_sen-1,"",AVERAGE(INDEX($F$9:$F$112,A11-N_sen+1):F11))</f>
        <v/>
      </c>
      <c r="H11" s="16" t="str">
        <f aca="false">IF(G11="","",F11-G11)</f>
        <v/>
      </c>
      <c r="I11" s="11" t="str">
        <f aca="false">IF(OR(H11="",H10=""),"",IF(AND(H10&lt;=0,H11&gt;0),"Cruce alcista",IF(AND(H10&gt;=0,H11&lt;0),"Cruce bajista","")))</f>
        <v/>
      </c>
      <c r="J11" s="18" t="str">
        <f aca="false">IF(OR(F11="",MACD_EMA!F11=""),"",F11-MACD_EMA!F11)</f>
        <v/>
      </c>
    </row>
    <row r="12" customFormat="false" ht="15" hidden="false" customHeight="false" outlineLevel="0" collapsed="false">
      <c r="A12" s="11" t="n">
        <f aca="false">ROW()-8</f>
        <v>4</v>
      </c>
      <c r="B12" s="14" t="n">
        <f aca="false">Datos!A5</f>
        <v>45576</v>
      </c>
      <c r="C12" s="15" t="n">
        <f aca="false">Datos!B5</f>
        <v>165.21</v>
      </c>
      <c r="D12" s="16" t="str">
        <f aca="false">IF(A12&lt;N_rap,"",AVERAGE(INDEX($C$9:$C$112,A12-N_rap+1):C12))</f>
        <v/>
      </c>
      <c r="E12" s="16" t="str">
        <f aca="false">IF(A12&lt;N_len,"",AVERAGE(INDEX($C$9:$C$112,A12-N_len+1):C12))</f>
        <v/>
      </c>
      <c r="F12" s="16" t="str">
        <f aca="false">IF(E12="","",D12-E12)</f>
        <v/>
      </c>
      <c r="G12" s="16" t="str">
        <f aca="false">IF(A12&lt;N_len+N_sen-1,"",AVERAGE(INDEX($F$9:$F$112,A12-N_sen+1):F12))</f>
        <v/>
      </c>
      <c r="H12" s="16" t="str">
        <f aca="false">IF(G12="","",F12-G12)</f>
        <v/>
      </c>
      <c r="I12" s="11" t="str">
        <f aca="false">IF(OR(H12="",H11=""),"",IF(AND(H11&lt;=0,H12&gt;0),"Cruce alcista",IF(AND(H11&gt;=0,H12&lt;0),"Cruce bajista","")))</f>
        <v/>
      </c>
      <c r="J12" s="18" t="str">
        <f aca="false">IF(OR(F12="",MACD_EMA!F12=""),"",F12-MACD_EMA!F12)</f>
        <v/>
      </c>
    </row>
    <row r="13" customFormat="false" ht="15" hidden="false" customHeight="false" outlineLevel="0" collapsed="false">
      <c r="A13" s="11" t="n">
        <f aca="false">ROW()-8</f>
        <v>5</v>
      </c>
      <c r="B13" s="14" t="n">
        <f aca="false">Datos!A6</f>
        <v>45583</v>
      </c>
      <c r="C13" s="15" t="n">
        <f aca="false">Datos!B6</f>
        <v>162.76</v>
      </c>
      <c r="D13" s="16" t="str">
        <f aca="false">IF(A13&lt;N_rap,"",AVERAGE(INDEX($C$9:$C$112,A13-N_rap+1):C13))</f>
        <v/>
      </c>
      <c r="E13" s="16" t="str">
        <f aca="false">IF(A13&lt;N_len,"",AVERAGE(INDEX($C$9:$C$112,A13-N_len+1):C13))</f>
        <v/>
      </c>
      <c r="F13" s="16" t="str">
        <f aca="false">IF(E13="","",D13-E13)</f>
        <v/>
      </c>
      <c r="G13" s="16" t="str">
        <f aca="false">IF(A13&lt;N_len+N_sen-1,"",AVERAGE(INDEX($F$9:$F$112,A13-N_sen+1):F13))</f>
        <v/>
      </c>
      <c r="H13" s="16" t="str">
        <f aca="false">IF(G13="","",F13-G13)</f>
        <v/>
      </c>
      <c r="I13" s="11" t="str">
        <f aca="false">IF(OR(H13="",H12=""),"",IF(AND(H12&lt;=0,H13&gt;0),"Cruce alcista",IF(AND(H12&gt;=0,H13&lt;0),"Cruce bajista","")))</f>
        <v/>
      </c>
      <c r="J13" s="18" t="str">
        <f aca="false">IF(OR(F13="",MACD_EMA!F13=""),"",F13-MACD_EMA!F13)</f>
        <v/>
      </c>
    </row>
    <row r="14" customFormat="false" ht="15" hidden="false" customHeight="false" outlineLevel="0" collapsed="false">
      <c r="A14" s="11" t="n">
        <f aca="false">ROW()-8</f>
        <v>6</v>
      </c>
      <c r="B14" s="14" t="n">
        <f aca="false">Datos!A7</f>
        <v>45590</v>
      </c>
      <c r="C14" s="15" t="n">
        <f aca="false">Datos!B7</f>
        <v>165.13</v>
      </c>
      <c r="D14" s="16" t="str">
        <f aca="false">IF(A14&lt;N_rap,"",AVERAGE(INDEX($C$9:$C$112,A14-N_rap+1):C14))</f>
        <v/>
      </c>
      <c r="E14" s="16" t="str">
        <f aca="false">IF(A14&lt;N_len,"",AVERAGE(INDEX($C$9:$C$112,A14-N_len+1):C14))</f>
        <v/>
      </c>
      <c r="F14" s="16" t="str">
        <f aca="false">IF(E14="","",D14-E14)</f>
        <v/>
      </c>
      <c r="G14" s="16" t="str">
        <f aca="false">IF(A14&lt;N_len+N_sen-1,"",AVERAGE(INDEX($F$9:$F$112,A14-N_sen+1):F14))</f>
        <v/>
      </c>
      <c r="H14" s="16" t="str">
        <f aca="false">IF(G14="","",F14-G14)</f>
        <v/>
      </c>
      <c r="I14" s="11" t="str">
        <f aca="false">IF(OR(H14="",H13=""),"",IF(AND(H13&lt;=0,H14&gt;0),"Cruce alcista",IF(AND(H13&gt;=0,H14&lt;0),"Cruce bajista","")))</f>
        <v/>
      </c>
      <c r="J14" s="18" t="str">
        <f aca="false">IF(OR(F14="",MACD_EMA!F14=""),"",F14-MACD_EMA!F14)</f>
        <v/>
      </c>
    </row>
    <row r="15" customFormat="false" ht="15" hidden="false" customHeight="false" outlineLevel="0" collapsed="false">
      <c r="A15" s="11" t="n">
        <f aca="false">ROW()-8</f>
        <v>7</v>
      </c>
      <c r="B15" s="14" t="n">
        <f aca="false">Datos!A8</f>
        <v>45597</v>
      </c>
      <c r="C15" s="15" t="n">
        <f aca="false">Datos!B8</f>
        <v>165.35</v>
      </c>
      <c r="D15" s="16" t="str">
        <f aca="false">IF(A15&lt;N_rap,"",AVERAGE(INDEX($C$9:$C$112,A15-N_rap+1):C15))</f>
        <v/>
      </c>
      <c r="E15" s="16" t="str">
        <f aca="false">IF(A15&lt;N_len,"",AVERAGE(INDEX($C$9:$C$112,A15-N_len+1):C15))</f>
        <v/>
      </c>
      <c r="F15" s="16" t="str">
        <f aca="false">IF(E15="","",D15-E15)</f>
        <v/>
      </c>
      <c r="G15" s="16" t="str">
        <f aca="false">IF(A15&lt;N_len+N_sen-1,"",AVERAGE(INDEX($F$9:$F$112,A15-N_sen+1):F15))</f>
        <v/>
      </c>
      <c r="H15" s="16" t="str">
        <f aca="false">IF(G15="","",F15-G15)</f>
        <v/>
      </c>
      <c r="I15" s="11" t="str">
        <f aca="false">IF(OR(H15="",H14=""),"",IF(AND(H14&lt;=0,H15&gt;0),"Cruce alcista",IF(AND(H14&gt;=0,H15&lt;0),"Cruce bajista","")))</f>
        <v/>
      </c>
      <c r="J15" s="18" t="str">
        <f aca="false">IF(OR(F15="",MACD_EMA!F15=""),"",F15-MACD_EMA!F15)</f>
        <v/>
      </c>
    </row>
    <row r="16" customFormat="false" ht="15" hidden="false" customHeight="false" outlineLevel="0" collapsed="false">
      <c r="A16" s="11" t="n">
        <f aca="false">ROW()-8</f>
        <v>8</v>
      </c>
      <c r="B16" s="14" t="n">
        <f aca="false">Datos!A9</f>
        <v>45604</v>
      </c>
      <c r="C16" s="15" t="n">
        <f aca="false">Datos!B9</f>
        <v>161.85</v>
      </c>
      <c r="D16" s="16" t="str">
        <f aca="false">IF(A16&lt;N_rap,"",AVERAGE(INDEX($C$9:$C$112,A16-N_rap+1):C16))</f>
        <v/>
      </c>
      <c r="E16" s="16" t="str">
        <f aca="false">IF(A16&lt;N_len,"",AVERAGE(INDEX($C$9:$C$112,A16-N_len+1):C16))</f>
        <v/>
      </c>
      <c r="F16" s="16" t="str">
        <f aca="false">IF(E16="","",D16-E16)</f>
        <v/>
      </c>
      <c r="G16" s="16" t="str">
        <f aca="false">IF(A16&lt;N_len+N_sen-1,"",AVERAGE(INDEX($F$9:$F$112,A16-N_sen+1):F16))</f>
        <v/>
      </c>
      <c r="H16" s="16" t="str">
        <f aca="false">IF(G16="","",F16-G16)</f>
        <v/>
      </c>
      <c r="I16" s="11" t="str">
        <f aca="false">IF(OR(H16="",H15=""),"",IF(AND(H15&lt;=0,H16&gt;0),"Cruce alcista",IF(AND(H15&gt;=0,H16&lt;0),"Cruce bajista","")))</f>
        <v/>
      </c>
      <c r="J16" s="18" t="str">
        <f aca="false">IF(OR(F16="",MACD_EMA!F16=""),"",F16-MACD_EMA!F16)</f>
        <v/>
      </c>
    </row>
    <row r="17" customFormat="false" ht="15" hidden="false" customHeight="false" outlineLevel="0" collapsed="false">
      <c r="A17" s="11" t="n">
        <f aca="false">ROW()-8</f>
        <v>9</v>
      </c>
      <c r="B17" s="14" t="n">
        <f aca="false">Datos!A10</f>
        <v>45611</v>
      </c>
      <c r="C17" s="15" t="n">
        <f aca="false">Datos!B10</f>
        <v>165.48</v>
      </c>
      <c r="D17" s="16" t="str">
        <f aca="false">IF(A17&lt;N_rap,"",AVERAGE(INDEX($C$9:$C$112,A17-N_rap+1):C17))</f>
        <v/>
      </c>
      <c r="E17" s="16" t="str">
        <f aca="false">IF(A17&lt;N_len,"",AVERAGE(INDEX($C$9:$C$112,A17-N_len+1):C17))</f>
        <v/>
      </c>
      <c r="F17" s="16" t="str">
        <f aca="false">IF(E17="","",D17-E17)</f>
        <v/>
      </c>
      <c r="G17" s="16" t="str">
        <f aca="false">IF(A17&lt;N_len+N_sen-1,"",AVERAGE(INDEX($F$9:$F$112,A17-N_sen+1):F17))</f>
        <v/>
      </c>
      <c r="H17" s="16" t="str">
        <f aca="false">IF(G17="","",F17-G17)</f>
        <v/>
      </c>
      <c r="I17" s="11" t="str">
        <f aca="false">IF(OR(H17="",H16=""),"",IF(AND(H16&lt;=0,H17&gt;0),"Cruce alcista",IF(AND(H16&gt;=0,H17&lt;0),"Cruce bajista","")))</f>
        <v/>
      </c>
      <c r="J17" s="18" t="str">
        <f aca="false">IF(OR(F17="",MACD_EMA!F17=""),"",F17-MACD_EMA!F17)</f>
        <v/>
      </c>
    </row>
    <row r="18" customFormat="false" ht="15" hidden="false" customHeight="false" outlineLevel="0" collapsed="false">
      <c r="A18" s="11" t="n">
        <f aca="false">ROW()-8</f>
        <v>10</v>
      </c>
      <c r="B18" s="14" t="n">
        <f aca="false">Datos!A11</f>
        <v>45618</v>
      </c>
      <c r="C18" s="15" t="n">
        <f aca="false">Datos!B11</f>
        <v>162.15</v>
      </c>
      <c r="D18" s="16" t="str">
        <f aca="false">IF(A18&lt;N_rap,"",AVERAGE(INDEX($C$9:$C$112,A18-N_rap+1):C18))</f>
        <v/>
      </c>
      <c r="E18" s="16" t="str">
        <f aca="false">IF(A18&lt;N_len,"",AVERAGE(INDEX($C$9:$C$112,A18-N_len+1):C18))</f>
        <v/>
      </c>
      <c r="F18" s="16" t="str">
        <f aca="false">IF(E18="","",D18-E18)</f>
        <v/>
      </c>
      <c r="G18" s="16" t="str">
        <f aca="false">IF(A18&lt;N_len+N_sen-1,"",AVERAGE(INDEX($F$9:$F$112,A18-N_sen+1):F18))</f>
        <v/>
      </c>
      <c r="H18" s="16" t="str">
        <f aca="false">IF(G18="","",F18-G18)</f>
        <v/>
      </c>
      <c r="I18" s="11" t="str">
        <f aca="false">IF(OR(H18="",H17=""),"",IF(AND(H17&lt;=0,H18&gt;0),"Cruce alcista",IF(AND(H17&gt;=0,H18&lt;0),"Cruce bajista","")))</f>
        <v/>
      </c>
      <c r="J18" s="18" t="str">
        <f aca="false">IF(OR(F18="",MACD_EMA!F18=""),"",F18-MACD_EMA!F18)</f>
        <v/>
      </c>
    </row>
    <row r="19" customFormat="false" ht="15" hidden="false" customHeight="false" outlineLevel="0" collapsed="false">
      <c r="A19" s="11" t="n">
        <f aca="false">ROW()-8</f>
        <v>11</v>
      </c>
      <c r="B19" s="14" t="n">
        <f aca="false">Datos!A12</f>
        <v>45625</v>
      </c>
      <c r="C19" s="15" t="n">
        <f aca="false">Datos!B12</f>
        <v>166.72</v>
      </c>
      <c r="D19" s="16" t="str">
        <f aca="false">IF(A19&lt;N_rap,"",AVERAGE(INDEX($C$9:$C$112,A19-N_rap+1):C19))</f>
        <v/>
      </c>
      <c r="E19" s="16" t="str">
        <f aca="false">IF(A19&lt;N_len,"",AVERAGE(INDEX($C$9:$C$112,A19-N_len+1):C19))</f>
        <v/>
      </c>
      <c r="F19" s="16" t="str">
        <f aca="false">IF(E19="","",D19-E19)</f>
        <v/>
      </c>
      <c r="G19" s="16" t="str">
        <f aca="false">IF(A19&lt;N_len+N_sen-1,"",AVERAGE(INDEX($F$9:$F$112,A19-N_sen+1):F19))</f>
        <v/>
      </c>
      <c r="H19" s="16" t="str">
        <f aca="false">IF(G19="","",F19-G19)</f>
        <v/>
      </c>
      <c r="I19" s="11" t="str">
        <f aca="false">IF(OR(H19="",H18=""),"",IF(AND(H18&lt;=0,H19&gt;0),"Cruce alcista",IF(AND(H18&gt;=0,H19&lt;0),"Cruce bajista","")))</f>
        <v/>
      </c>
      <c r="J19" s="18" t="str">
        <f aca="false">IF(OR(F19="",MACD_EMA!F19=""),"",F19-MACD_EMA!F19)</f>
        <v/>
      </c>
    </row>
    <row r="20" customFormat="false" ht="15" hidden="false" customHeight="false" outlineLevel="0" collapsed="false">
      <c r="A20" s="11" t="n">
        <f aca="false">ROW()-8</f>
        <v>12</v>
      </c>
      <c r="B20" s="14" t="n">
        <f aca="false">Datos!A13</f>
        <v>45632</v>
      </c>
      <c r="C20" s="15" t="n">
        <f aca="false">Datos!B13</f>
        <v>162.27</v>
      </c>
      <c r="D20" s="16" t="n">
        <f aca="false">IF(A20&lt;N_rap,"",AVERAGE(INDEX($C$9:$C$112,A20-N_rap+1):C20))</f>
        <v>165.395833333333</v>
      </c>
      <c r="E20" s="16" t="str">
        <f aca="false">IF(A20&lt;N_len,"",AVERAGE(INDEX($C$9:$C$112,A20-N_len+1):C20))</f>
        <v/>
      </c>
      <c r="F20" s="16" t="str">
        <f aca="false">IF(E20="","",D20-E20)</f>
        <v/>
      </c>
      <c r="G20" s="16" t="str">
        <f aca="false">IF(A20&lt;N_len+N_sen-1,"",AVERAGE(INDEX($F$9:$F$112,A20-N_sen+1):F20))</f>
        <v/>
      </c>
      <c r="H20" s="16" t="str">
        <f aca="false">IF(G20="","",F20-G20)</f>
        <v/>
      </c>
      <c r="I20" s="11" t="str">
        <f aca="false">IF(OR(H20="",H19=""),"",IF(AND(H19&lt;=0,H20&gt;0),"Cruce alcista",IF(AND(H19&gt;=0,H20&lt;0),"Cruce bajista","")))</f>
        <v/>
      </c>
      <c r="J20" s="18" t="str">
        <f aca="false">IF(OR(F20="",MACD_EMA!F20=""),"",F20-MACD_EMA!F20)</f>
        <v/>
      </c>
    </row>
    <row r="21" customFormat="false" ht="15" hidden="false" customHeight="false" outlineLevel="0" collapsed="false">
      <c r="A21" s="11" t="n">
        <f aca="false">ROW()-8</f>
        <v>13</v>
      </c>
      <c r="B21" s="14" t="n">
        <f aca="false">Datos!A14</f>
        <v>45639</v>
      </c>
      <c r="C21" s="15" t="n">
        <f aca="false">Datos!B14</f>
        <v>158.8</v>
      </c>
      <c r="D21" s="16" t="n">
        <f aca="false">IF(A21&lt;N_rap,"",AVERAGE(INDEX($C$9:$C$112,A21-N_rap+1):C21))</f>
        <v>164.6525</v>
      </c>
      <c r="E21" s="16" t="str">
        <f aca="false">IF(A21&lt;N_len,"",AVERAGE(INDEX($C$9:$C$112,A21-N_len+1):C21))</f>
        <v/>
      </c>
      <c r="F21" s="16" t="str">
        <f aca="false">IF(E21="","",D21-E21)</f>
        <v/>
      </c>
      <c r="G21" s="16" t="str">
        <f aca="false">IF(A21&lt;N_len+N_sen-1,"",AVERAGE(INDEX($F$9:$F$112,A21-N_sen+1):F21))</f>
        <v/>
      </c>
      <c r="H21" s="16" t="str">
        <f aca="false">IF(G21="","",F21-G21)</f>
        <v/>
      </c>
      <c r="I21" s="11" t="str">
        <f aca="false">IF(OR(H21="",H20=""),"",IF(AND(H20&lt;=0,H21&gt;0),"Cruce alcista",IF(AND(H20&gt;=0,H21&lt;0),"Cruce bajista","")))</f>
        <v/>
      </c>
      <c r="J21" s="18" t="str">
        <f aca="false">IF(OR(F21="",MACD_EMA!F21=""),"",F21-MACD_EMA!F21)</f>
        <v/>
      </c>
    </row>
    <row r="22" customFormat="false" ht="15" hidden="false" customHeight="false" outlineLevel="0" collapsed="false">
      <c r="A22" s="11" t="n">
        <f aca="false">ROW()-8</f>
        <v>14</v>
      </c>
      <c r="B22" s="14" t="n">
        <f aca="false">Datos!A15</f>
        <v>45646</v>
      </c>
      <c r="C22" s="15" t="n">
        <f aca="false">Datos!B15</f>
        <v>164.42</v>
      </c>
      <c r="D22" s="16" t="n">
        <f aca="false">IF(A22&lt;N_rap,"",AVERAGE(INDEX($C$9:$C$112,A22-N_rap+1):C22))</f>
        <v>163.9975</v>
      </c>
      <c r="E22" s="16" t="str">
        <f aca="false">IF(A22&lt;N_len,"",AVERAGE(INDEX($C$9:$C$112,A22-N_len+1):C22))</f>
        <v/>
      </c>
      <c r="F22" s="16" t="str">
        <f aca="false">IF(E22="","",D22-E22)</f>
        <v/>
      </c>
      <c r="G22" s="16" t="str">
        <f aca="false">IF(A22&lt;N_len+N_sen-1,"",AVERAGE(INDEX($F$9:$F$112,A22-N_sen+1):F22))</f>
        <v/>
      </c>
      <c r="H22" s="16" t="str">
        <f aca="false">IF(G22="","",F22-G22)</f>
        <v/>
      </c>
      <c r="I22" s="11" t="str">
        <f aca="false">IF(OR(H22="",H21=""),"",IF(AND(H21&lt;=0,H22&gt;0),"Cruce alcista",IF(AND(H21&gt;=0,H22&lt;0),"Cruce bajista","")))</f>
        <v/>
      </c>
      <c r="J22" s="18" t="str">
        <f aca="false">IF(OR(F22="",MACD_EMA!F22=""),"",F22-MACD_EMA!F22)</f>
        <v/>
      </c>
    </row>
    <row r="23" customFormat="false" ht="15" hidden="false" customHeight="false" outlineLevel="0" collapsed="false">
      <c r="A23" s="11" t="n">
        <f aca="false">ROW()-8</f>
        <v>15</v>
      </c>
      <c r="B23" s="14" t="n">
        <f aca="false">Datos!A16</f>
        <v>45653</v>
      </c>
      <c r="C23" s="15" t="n">
        <f aca="false">Datos!B16</f>
        <v>155.24</v>
      </c>
      <c r="D23" s="16" t="n">
        <f aca="false">IF(A23&lt;N_rap,"",AVERAGE(INDEX($C$9:$C$112,A23-N_rap+1):C23))</f>
        <v>162.948333333333</v>
      </c>
      <c r="E23" s="16" t="str">
        <f aca="false">IF(A23&lt;N_len,"",AVERAGE(INDEX($C$9:$C$112,A23-N_len+1):C23))</f>
        <v/>
      </c>
      <c r="F23" s="16" t="str">
        <f aca="false">IF(E23="","",D23-E23)</f>
        <v/>
      </c>
      <c r="G23" s="16" t="str">
        <f aca="false">IF(A23&lt;N_len+N_sen-1,"",AVERAGE(INDEX($F$9:$F$112,A23-N_sen+1):F23))</f>
        <v/>
      </c>
      <c r="H23" s="16" t="str">
        <f aca="false">IF(G23="","",F23-G23)</f>
        <v/>
      </c>
      <c r="I23" s="11" t="str">
        <f aca="false">IF(OR(H23="",H22=""),"",IF(AND(H22&lt;=0,H23&gt;0),"Cruce alcista",IF(AND(H22&gt;=0,H23&lt;0),"Cruce bajista","")))</f>
        <v/>
      </c>
      <c r="J23" s="18" t="str">
        <f aca="false">IF(OR(F23="",MACD_EMA!F23=""),"",F23-MACD_EMA!F23)</f>
        <v/>
      </c>
    </row>
    <row r="24" customFormat="false" ht="15" hidden="false" customHeight="false" outlineLevel="0" collapsed="false">
      <c r="A24" s="11" t="n">
        <f aca="false">ROW()-8</f>
        <v>16</v>
      </c>
      <c r="B24" s="14" t="n">
        <f aca="false">Datos!A17</f>
        <v>45660</v>
      </c>
      <c r="C24" s="15" t="n">
        <f aca="false">Datos!B17</f>
        <v>150.86</v>
      </c>
      <c r="D24" s="16" t="n">
        <f aca="false">IF(A24&lt;N_rap,"",AVERAGE(INDEX($C$9:$C$112,A24-N_rap+1):C24))</f>
        <v>161.7525</v>
      </c>
      <c r="E24" s="16" t="str">
        <f aca="false">IF(A24&lt;N_len,"",AVERAGE(INDEX($C$9:$C$112,A24-N_len+1):C24))</f>
        <v/>
      </c>
      <c r="F24" s="16" t="str">
        <f aca="false">IF(E24="","",D24-E24)</f>
        <v/>
      </c>
      <c r="G24" s="16" t="str">
        <f aca="false">IF(A24&lt;N_len+N_sen-1,"",AVERAGE(INDEX($F$9:$F$112,A24-N_sen+1):F24))</f>
        <v/>
      </c>
      <c r="H24" s="16" t="str">
        <f aca="false">IF(G24="","",F24-G24)</f>
        <v/>
      </c>
      <c r="I24" s="11" t="str">
        <f aca="false">IF(OR(H24="",H23=""),"",IF(AND(H23&lt;=0,H24&gt;0),"Cruce alcista",IF(AND(H23&gt;=0,H24&lt;0),"Cruce bajista","")))</f>
        <v/>
      </c>
      <c r="J24" s="18" t="str">
        <f aca="false">IF(OR(F24="",MACD_EMA!F24=""),"",F24-MACD_EMA!F24)</f>
        <v/>
      </c>
    </row>
    <row r="25" customFormat="false" ht="15" hidden="false" customHeight="false" outlineLevel="0" collapsed="false">
      <c r="A25" s="11" t="n">
        <f aca="false">ROW()-8</f>
        <v>17</v>
      </c>
      <c r="B25" s="14" t="n">
        <f aca="false">Datos!A18</f>
        <v>45667</v>
      </c>
      <c r="C25" s="15" t="n">
        <f aca="false">Datos!B18</f>
        <v>151.3</v>
      </c>
      <c r="D25" s="16" t="n">
        <f aca="false">IF(A25&lt;N_rap,"",AVERAGE(INDEX($C$9:$C$112,A25-N_rap+1):C25))</f>
        <v>160.7975</v>
      </c>
      <c r="E25" s="16" t="str">
        <f aca="false">IF(A25&lt;N_len,"",AVERAGE(INDEX($C$9:$C$112,A25-N_len+1):C25))</f>
        <v/>
      </c>
      <c r="F25" s="16" t="str">
        <f aca="false">IF(E25="","",D25-E25)</f>
        <v/>
      </c>
      <c r="G25" s="16" t="str">
        <f aca="false">IF(A25&lt;N_len+N_sen-1,"",AVERAGE(INDEX($F$9:$F$112,A25-N_sen+1):F25))</f>
        <v/>
      </c>
      <c r="H25" s="16" t="str">
        <f aca="false">IF(G25="","",F25-G25)</f>
        <v/>
      </c>
      <c r="I25" s="11" t="str">
        <f aca="false">IF(OR(H25="",H24=""),"",IF(AND(H24&lt;=0,H25&gt;0),"Cruce alcista",IF(AND(H24&gt;=0,H25&lt;0),"Cruce bajista","")))</f>
        <v/>
      </c>
      <c r="J25" s="18" t="str">
        <f aca="false">IF(OR(F25="",MACD_EMA!F25=""),"",F25-MACD_EMA!F25)</f>
        <v/>
      </c>
    </row>
    <row r="26" customFormat="false" ht="15" hidden="false" customHeight="false" outlineLevel="0" collapsed="false">
      <c r="A26" s="11" t="n">
        <f aca="false">ROW()-8</f>
        <v>18</v>
      </c>
      <c r="B26" s="14" t="n">
        <f aca="false">Datos!A19</f>
        <v>45674</v>
      </c>
      <c r="C26" s="15" t="n">
        <f aca="false">Datos!B19</f>
        <v>156.79</v>
      </c>
      <c r="D26" s="16" t="n">
        <f aca="false">IF(A26&lt;N_rap,"",AVERAGE(INDEX($C$9:$C$112,A26-N_rap+1):C26))</f>
        <v>160.1025</v>
      </c>
      <c r="E26" s="16" t="str">
        <f aca="false">IF(A26&lt;N_len,"",AVERAGE(INDEX($C$9:$C$112,A26-N_len+1):C26))</f>
        <v/>
      </c>
      <c r="F26" s="16" t="str">
        <f aca="false">IF(E26="","",D26-E26)</f>
        <v/>
      </c>
      <c r="G26" s="16" t="str">
        <f aca="false">IF(A26&lt;N_len+N_sen-1,"",AVERAGE(INDEX($F$9:$F$112,A26-N_sen+1):F26))</f>
        <v/>
      </c>
      <c r="H26" s="16" t="str">
        <f aca="false">IF(G26="","",F26-G26)</f>
        <v/>
      </c>
      <c r="I26" s="11" t="str">
        <f aca="false">IF(OR(H26="",H25=""),"",IF(AND(H25&lt;=0,H26&gt;0),"Cruce alcista",IF(AND(H25&gt;=0,H26&lt;0),"Cruce bajista","")))</f>
        <v/>
      </c>
      <c r="J26" s="18" t="str">
        <f aca="false">IF(OR(F26="",MACD_EMA!F26=""),"",F26-MACD_EMA!F26)</f>
        <v/>
      </c>
    </row>
    <row r="27" customFormat="false" ht="15" hidden="false" customHeight="false" outlineLevel="0" collapsed="false">
      <c r="A27" s="11" t="n">
        <f aca="false">ROW()-8</f>
        <v>19</v>
      </c>
      <c r="B27" s="14" t="n">
        <f aca="false">Datos!A20</f>
        <v>45681</v>
      </c>
      <c r="C27" s="15" t="n">
        <f aca="false">Datos!B20</f>
        <v>157.19</v>
      </c>
      <c r="D27" s="16" t="n">
        <f aca="false">IF(A27&lt;N_rap,"",AVERAGE(INDEX($C$9:$C$112,A27-N_rap+1):C27))</f>
        <v>159.4225</v>
      </c>
      <c r="E27" s="16" t="str">
        <f aca="false">IF(A27&lt;N_len,"",AVERAGE(INDEX($C$9:$C$112,A27-N_len+1):C27))</f>
        <v/>
      </c>
      <c r="F27" s="16" t="str">
        <f aca="false">IF(E27="","",D27-E27)</f>
        <v/>
      </c>
      <c r="G27" s="16" t="str">
        <f aca="false">IF(A27&lt;N_len+N_sen-1,"",AVERAGE(INDEX($F$9:$F$112,A27-N_sen+1):F27))</f>
        <v/>
      </c>
      <c r="H27" s="16" t="str">
        <f aca="false">IF(G27="","",F27-G27)</f>
        <v/>
      </c>
      <c r="I27" s="11" t="str">
        <f aca="false">IF(OR(H27="",H26=""),"",IF(AND(H26&lt;=0,H27&gt;0),"Cruce alcista",IF(AND(H26&gt;=0,H27&lt;0),"Cruce bajista","")))</f>
        <v/>
      </c>
      <c r="J27" s="18" t="str">
        <f aca="false">IF(OR(F27="",MACD_EMA!F27=""),"",F27-MACD_EMA!F27)</f>
        <v/>
      </c>
    </row>
    <row r="28" customFormat="false" ht="15" hidden="false" customHeight="false" outlineLevel="0" collapsed="false">
      <c r="A28" s="11" t="n">
        <f aca="false">ROW()-8</f>
        <v>20</v>
      </c>
      <c r="B28" s="14" t="n">
        <f aca="false">Datos!A21</f>
        <v>45688</v>
      </c>
      <c r="C28" s="15" t="n">
        <f aca="false">Datos!B21</f>
        <v>159.63</v>
      </c>
      <c r="D28" s="16" t="n">
        <f aca="false">IF(A28&lt;N_rap,"",AVERAGE(INDEX($C$9:$C$112,A28-N_rap+1):C28))</f>
        <v>159.2375</v>
      </c>
      <c r="E28" s="16" t="str">
        <f aca="false">IF(A28&lt;N_len,"",AVERAGE(INDEX($C$9:$C$112,A28-N_len+1):C28))</f>
        <v/>
      </c>
      <c r="F28" s="16" t="str">
        <f aca="false">IF(E28="","",D28-E28)</f>
        <v/>
      </c>
      <c r="G28" s="16" t="str">
        <f aca="false">IF(A28&lt;N_len+N_sen-1,"",AVERAGE(INDEX($F$9:$F$112,A28-N_sen+1):F28))</f>
        <v/>
      </c>
      <c r="H28" s="16" t="str">
        <f aca="false">IF(G28="","",F28-G28)</f>
        <v/>
      </c>
      <c r="I28" s="11" t="str">
        <f aca="false">IF(OR(H28="",H27=""),"",IF(AND(H27&lt;=0,H28&gt;0),"Cruce alcista",IF(AND(H27&gt;=0,H28&lt;0),"Cruce bajista","")))</f>
        <v/>
      </c>
      <c r="J28" s="18" t="str">
        <f aca="false">IF(OR(F28="",MACD_EMA!F28=""),"",F28-MACD_EMA!F28)</f>
        <v/>
      </c>
    </row>
    <row r="29" customFormat="false" ht="15" hidden="false" customHeight="false" outlineLevel="0" collapsed="false">
      <c r="A29" s="11" t="n">
        <f aca="false">ROW()-8</f>
        <v>21</v>
      </c>
      <c r="B29" s="14" t="n">
        <f aca="false">Datos!A22</f>
        <v>45695</v>
      </c>
      <c r="C29" s="15" t="n">
        <f aca="false">Datos!B22</f>
        <v>161.06</v>
      </c>
      <c r="D29" s="16" t="n">
        <f aca="false">IF(A29&lt;N_rap,"",AVERAGE(INDEX($C$9:$C$112,A29-N_rap+1):C29))</f>
        <v>158.869166666667</v>
      </c>
      <c r="E29" s="16" t="str">
        <f aca="false">IF(A29&lt;N_len,"",AVERAGE(INDEX($C$9:$C$112,A29-N_len+1):C29))</f>
        <v/>
      </c>
      <c r="F29" s="16" t="str">
        <f aca="false">IF(E29="","",D29-E29)</f>
        <v/>
      </c>
      <c r="G29" s="16" t="str">
        <f aca="false">IF(A29&lt;N_len+N_sen-1,"",AVERAGE(INDEX($F$9:$F$112,A29-N_sen+1):F29))</f>
        <v/>
      </c>
      <c r="H29" s="16" t="str">
        <f aca="false">IF(G29="","",F29-G29)</f>
        <v/>
      </c>
      <c r="I29" s="11" t="str">
        <f aca="false">IF(OR(H29="",H28=""),"",IF(AND(H28&lt;=0,H29&gt;0),"Cruce alcista",IF(AND(H28&gt;=0,H29&lt;0),"Cruce bajista","")))</f>
        <v/>
      </c>
      <c r="J29" s="18" t="str">
        <f aca="false">IF(OR(F29="",MACD_EMA!F29=""),"",F29-MACD_EMA!F29)</f>
        <v/>
      </c>
    </row>
    <row r="30" customFormat="false" ht="15" hidden="false" customHeight="false" outlineLevel="0" collapsed="false">
      <c r="A30" s="11" t="n">
        <f aca="false">ROW()-8</f>
        <v>22</v>
      </c>
      <c r="B30" s="14" t="n">
        <f aca="false">Datos!A23</f>
        <v>45702</v>
      </c>
      <c r="C30" s="15" t="n">
        <f aca="false">Datos!B23</f>
        <v>156.64</v>
      </c>
      <c r="D30" s="16" t="n">
        <f aca="false">IF(A30&lt;N_rap,"",AVERAGE(INDEX($C$9:$C$112,A30-N_rap+1):C30))</f>
        <v>158.41</v>
      </c>
      <c r="E30" s="16" t="str">
        <f aca="false">IF(A30&lt;N_len,"",AVERAGE(INDEX($C$9:$C$112,A30-N_len+1):C30))</f>
        <v/>
      </c>
      <c r="F30" s="16" t="str">
        <f aca="false">IF(E30="","",D30-E30)</f>
        <v/>
      </c>
      <c r="G30" s="16" t="str">
        <f aca="false">IF(A30&lt;N_len+N_sen-1,"",AVERAGE(INDEX($F$9:$F$112,A30-N_sen+1):F30))</f>
        <v/>
      </c>
      <c r="H30" s="16" t="str">
        <f aca="false">IF(G30="","",F30-G30)</f>
        <v/>
      </c>
      <c r="I30" s="11" t="str">
        <f aca="false">IF(OR(H30="",H29=""),"",IF(AND(H29&lt;=0,H30&gt;0),"Cruce alcista",IF(AND(H29&gt;=0,H30&lt;0),"Cruce bajista","")))</f>
        <v/>
      </c>
      <c r="J30" s="18" t="str">
        <f aca="false">IF(OR(F30="",MACD_EMA!F30=""),"",F30-MACD_EMA!F30)</f>
        <v/>
      </c>
    </row>
    <row r="31" customFormat="false" ht="15" hidden="false" customHeight="false" outlineLevel="0" collapsed="false">
      <c r="A31" s="11" t="n">
        <f aca="false">ROW()-8</f>
        <v>23</v>
      </c>
      <c r="B31" s="14" t="n">
        <f aca="false">Datos!A24</f>
        <v>45709</v>
      </c>
      <c r="C31" s="15" t="n">
        <f aca="false">Datos!B24</f>
        <v>160.67</v>
      </c>
      <c r="D31" s="16" t="n">
        <f aca="false">IF(A31&lt;N_rap,"",AVERAGE(INDEX($C$9:$C$112,A31-N_rap+1):C31))</f>
        <v>157.905833333333</v>
      </c>
      <c r="E31" s="16" t="str">
        <f aca="false">IF(A31&lt;N_len,"",AVERAGE(INDEX($C$9:$C$112,A31-N_len+1):C31))</f>
        <v/>
      </c>
      <c r="F31" s="16" t="str">
        <f aca="false">IF(E31="","",D31-E31)</f>
        <v/>
      </c>
      <c r="G31" s="16" t="str">
        <f aca="false">IF(A31&lt;N_len+N_sen-1,"",AVERAGE(INDEX($F$9:$F$112,A31-N_sen+1):F31))</f>
        <v/>
      </c>
      <c r="H31" s="16" t="str">
        <f aca="false">IF(G31="","",F31-G31)</f>
        <v/>
      </c>
      <c r="I31" s="11" t="str">
        <f aca="false">IF(OR(H31="",H30=""),"",IF(AND(H30&lt;=0,H31&gt;0),"Cruce alcista",IF(AND(H30&gt;=0,H31&lt;0),"Cruce bajista","")))</f>
        <v/>
      </c>
      <c r="J31" s="18" t="str">
        <f aca="false">IF(OR(F31="",MACD_EMA!F31=""),"",F31-MACD_EMA!F31)</f>
        <v/>
      </c>
    </row>
    <row r="32" customFormat="false" ht="15" hidden="false" customHeight="false" outlineLevel="0" collapsed="false">
      <c r="A32" s="11" t="n">
        <f aca="false">ROW()-8</f>
        <v>24</v>
      </c>
      <c r="B32" s="14" t="n">
        <f aca="false">Datos!A25</f>
        <v>45716</v>
      </c>
      <c r="C32" s="15" t="n">
        <f aca="false">Datos!B25</f>
        <v>162.66</v>
      </c>
      <c r="D32" s="16" t="n">
        <f aca="false">IF(A32&lt;N_rap,"",AVERAGE(INDEX($C$9:$C$112,A32-N_rap+1):C32))</f>
        <v>157.938333333333</v>
      </c>
      <c r="E32" s="16" t="str">
        <f aca="false">IF(A32&lt;N_len,"",AVERAGE(INDEX($C$9:$C$112,A32-N_len+1):C32))</f>
        <v/>
      </c>
      <c r="F32" s="16" t="str">
        <f aca="false">IF(E32="","",D32-E32)</f>
        <v/>
      </c>
      <c r="G32" s="16" t="str">
        <f aca="false">IF(A32&lt;N_len+N_sen-1,"",AVERAGE(INDEX($F$9:$F$112,A32-N_sen+1):F32))</f>
        <v/>
      </c>
      <c r="H32" s="16" t="str">
        <f aca="false">IF(G32="","",F32-G32)</f>
        <v/>
      </c>
      <c r="I32" s="11" t="str">
        <f aca="false">IF(OR(H32="",H31=""),"",IF(AND(H31&lt;=0,H32&gt;0),"Cruce alcista",IF(AND(H31&gt;=0,H32&lt;0),"Cruce bajista","")))</f>
        <v/>
      </c>
      <c r="J32" s="18" t="str">
        <f aca="false">IF(OR(F32="",MACD_EMA!F32=""),"",F32-MACD_EMA!F32)</f>
        <v/>
      </c>
    </row>
    <row r="33" customFormat="false" ht="15" hidden="false" customHeight="false" outlineLevel="0" collapsed="false">
      <c r="A33" s="11" t="n">
        <f aca="false">ROW()-8</f>
        <v>25</v>
      </c>
      <c r="B33" s="14" t="n">
        <f aca="false">Datos!A26</f>
        <v>45723</v>
      </c>
      <c r="C33" s="15" t="n">
        <f aca="false">Datos!B26</f>
        <v>165.91</v>
      </c>
      <c r="D33" s="16" t="n">
        <f aca="false">IF(A33&lt;N_rap,"",AVERAGE(INDEX($C$9:$C$112,A33-N_rap+1):C33))</f>
        <v>158.530833333333</v>
      </c>
      <c r="E33" s="16" t="str">
        <f aca="false">IF(A33&lt;N_len,"",AVERAGE(INDEX($C$9:$C$112,A33-N_len+1):C33))</f>
        <v/>
      </c>
      <c r="F33" s="16" t="str">
        <f aca="false">IF(E33="","",D33-E33)</f>
        <v/>
      </c>
      <c r="G33" s="16" t="str">
        <f aca="false">IF(A33&lt;N_len+N_sen-1,"",AVERAGE(INDEX($F$9:$F$112,A33-N_sen+1):F33))</f>
        <v/>
      </c>
      <c r="H33" s="16" t="str">
        <f aca="false">IF(G33="","",F33-G33)</f>
        <v/>
      </c>
      <c r="I33" s="11" t="str">
        <f aca="false">IF(OR(H33="",H32=""),"",IF(AND(H32&lt;=0,H33&gt;0),"Cruce alcista",IF(AND(H32&gt;=0,H33&lt;0),"Cruce bajista","")))</f>
        <v/>
      </c>
      <c r="J33" s="18" t="str">
        <f aca="false">IF(OR(F33="",MACD_EMA!F33=""),"",F33-MACD_EMA!F33)</f>
        <v/>
      </c>
    </row>
    <row r="34" customFormat="false" ht="15" hidden="false" customHeight="false" outlineLevel="0" collapsed="false">
      <c r="A34" s="11" t="n">
        <f aca="false">ROW()-8</f>
        <v>26</v>
      </c>
      <c r="B34" s="14" t="n">
        <f aca="false">Datos!A27</f>
        <v>45730</v>
      </c>
      <c r="C34" s="15" t="n">
        <f aca="false">Datos!B27</f>
        <v>171.62</v>
      </c>
      <c r="D34" s="16" t="n">
        <f aca="false">IF(A34&lt;N_rap,"",AVERAGE(INDEX($C$9:$C$112,A34-N_rap+1):C34))</f>
        <v>159.130833333333</v>
      </c>
      <c r="E34" s="16" t="n">
        <f aca="false">IF(A34&lt;N_len,"",AVERAGE(INDEX($C$9:$C$112,A34-N_len+1):C34))</f>
        <v>162.213076923077</v>
      </c>
      <c r="F34" s="16" t="n">
        <f aca="false">IF(E34="","",D34-E34)</f>
        <v>-3.0822435897436</v>
      </c>
      <c r="G34" s="16" t="str">
        <f aca="false">IF(A34&lt;N_len+N_sen-1,"",AVERAGE(INDEX($F$9:$F$112,A34-N_sen+1):F34))</f>
        <v/>
      </c>
      <c r="H34" s="16" t="str">
        <f aca="false">IF(G34="","",F34-G34)</f>
        <v/>
      </c>
      <c r="I34" s="11" t="str">
        <f aca="false">IF(OR(H34="",H33=""),"",IF(AND(H33&lt;=0,H34&gt;0),"Cruce alcista",IF(AND(H33&gt;=0,H34&lt;0),"Cruce bajista","")))</f>
        <v/>
      </c>
      <c r="J34" s="18" t="n">
        <f aca="false">IF(OR(F34="",MACD_EMA!F34=""),"",F34-MACD_EMA!F34)</f>
        <v>-3.2146969049499</v>
      </c>
    </row>
    <row r="35" customFormat="false" ht="15" hidden="false" customHeight="false" outlineLevel="0" collapsed="false">
      <c r="A35" s="11" t="n">
        <f aca="false">ROW()-8</f>
        <v>27</v>
      </c>
      <c r="B35" s="14" t="n">
        <f aca="false">Datos!A28</f>
        <v>45737</v>
      </c>
      <c r="C35" s="15" t="n">
        <f aca="false">Datos!B28</f>
        <v>178.11</v>
      </c>
      <c r="D35" s="16" t="n">
        <f aca="false">IF(A35&lt;N_rap,"",AVERAGE(INDEX($C$9:$C$112,A35-N_rap+1):C35))</f>
        <v>161.036666666667</v>
      </c>
      <c r="E35" s="16" t="n">
        <f aca="false">IF(A35&lt;N_len,"",AVERAGE(INDEX($C$9:$C$112,A35-N_len+1):C35))</f>
        <v>162.612692307692</v>
      </c>
      <c r="F35" s="16" t="n">
        <f aca="false">IF(E35="","",D35-E35)</f>
        <v>-1.57602564102567</v>
      </c>
      <c r="G35" s="16" t="str">
        <f aca="false">IF(A35&lt;N_len+N_sen-1,"",AVERAGE(INDEX($F$9:$F$112,A35-N_sen+1):F35))</f>
        <v/>
      </c>
      <c r="H35" s="16" t="str">
        <f aca="false">IF(G35="","",F35-G35)</f>
        <v/>
      </c>
      <c r="I35" s="11" t="str">
        <f aca="false">IF(OR(H35="",H34=""),"",IF(AND(H34&lt;=0,H35&gt;0),"Cruce alcista",IF(AND(H34&gt;=0,H35&lt;0),"Cruce bajista","")))</f>
        <v/>
      </c>
      <c r="J35" s="18" t="n">
        <f aca="false">IF(OR(F35="",MACD_EMA!F35=""),"",F35-MACD_EMA!F35)</f>
        <v>-2.95623213894623</v>
      </c>
    </row>
    <row r="36" customFormat="false" ht="15" hidden="false" customHeight="false" outlineLevel="0" collapsed="false">
      <c r="A36" s="11" t="n">
        <f aca="false">ROW()-8</f>
        <v>28</v>
      </c>
      <c r="B36" s="14" t="n">
        <f aca="false">Datos!A29</f>
        <v>45744</v>
      </c>
      <c r="C36" s="15" t="n">
        <f aca="false">Datos!B29</f>
        <v>177.68</v>
      </c>
      <c r="D36" s="16" t="n">
        <f aca="false">IF(A36&lt;N_rap,"",AVERAGE(INDEX($C$9:$C$112,A36-N_rap+1):C36))</f>
        <v>163.271666666667</v>
      </c>
      <c r="E36" s="16" t="n">
        <f aca="false">IF(A36&lt;N_len,"",AVERAGE(INDEX($C$9:$C$112,A36-N_len+1):C36))</f>
        <v>162.820384615385</v>
      </c>
      <c r="F36" s="16" t="n">
        <f aca="false">IF(E36="","",D36-E36)</f>
        <v>0.45128205128205</v>
      </c>
      <c r="G36" s="16" t="str">
        <f aca="false">IF(A36&lt;N_len+N_sen-1,"",AVERAGE(INDEX($F$9:$F$112,A36-N_sen+1):F36))</f>
        <v/>
      </c>
      <c r="H36" s="16" t="str">
        <f aca="false">IF(G36="","",F36-G36)</f>
        <v/>
      </c>
      <c r="I36" s="11" t="str">
        <f aca="false">IF(OR(H36="",H35=""),"",IF(AND(H35&lt;=0,H36&gt;0),"Cruce alcista",IF(AND(H35&gt;=0,H36&lt;0),"Cruce bajista","")))</f>
        <v/>
      </c>
      <c r="J36" s="18" t="n">
        <f aca="false">IF(OR(F36="",MACD_EMA!F36=""),"",F36-MACD_EMA!F36)</f>
        <v>-1.85647800576885</v>
      </c>
    </row>
    <row r="37" customFormat="false" ht="15" hidden="false" customHeight="false" outlineLevel="0" collapsed="false">
      <c r="A37" s="11" t="n">
        <f aca="false">ROW()-8</f>
        <v>29</v>
      </c>
      <c r="B37" s="14" t="n">
        <f aca="false">Datos!A30</f>
        <v>45751</v>
      </c>
      <c r="C37" s="15" t="n">
        <f aca="false">Datos!B30</f>
        <v>174.15</v>
      </c>
      <c r="D37" s="16" t="n">
        <f aca="false">IF(A37&lt;N_rap,"",AVERAGE(INDEX($C$9:$C$112,A37-N_rap+1):C37))</f>
        <v>165.175833333333</v>
      </c>
      <c r="E37" s="16" t="n">
        <f aca="false">IF(A37&lt;N_len,"",AVERAGE(INDEX($C$9:$C$112,A37-N_len+1):C37))</f>
        <v>163.063461538462</v>
      </c>
      <c r="F37" s="16" t="n">
        <f aca="false">IF(E37="","",D37-E37)</f>
        <v>2.11237179487179</v>
      </c>
      <c r="G37" s="16" t="str">
        <f aca="false">IF(A37&lt;N_len+N_sen-1,"",AVERAGE(INDEX($F$9:$F$112,A37-N_sen+1):F37))</f>
        <v/>
      </c>
      <c r="H37" s="16" t="str">
        <f aca="false">IF(G37="","",F37-G37)</f>
        <v/>
      </c>
      <c r="I37" s="11" t="str">
        <f aca="false">IF(OR(H37="",H36=""),"",IF(AND(H36&lt;=0,H37&gt;0),"Cruce alcista",IF(AND(H36&gt;=0,H37&lt;0),"Cruce bajista","")))</f>
        <v/>
      </c>
      <c r="J37" s="18" t="n">
        <f aca="false">IF(OR(F37="",MACD_EMA!F37=""),"",F37-MACD_EMA!F37)</f>
        <v>-0.614209312129617</v>
      </c>
    </row>
    <row r="38" customFormat="false" ht="15" hidden="false" customHeight="false" outlineLevel="0" collapsed="false">
      <c r="A38" s="11" t="n">
        <f aca="false">ROW()-8</f>
        <v>30</v>
      </c>
      <c r="B38" s="14" t="n">
        <f aca="false">Datos!A31</f>
        <v>45758</v>
      </c>
      <c r="C38" s="15" t="n">
        <f aca="false">Datos!B31</f>
        <v>187.27</v>
      </c>
      <c r="D38" s="16" t="n">
        <f aca="false">IF(A38&lt;N_rap,"",AVERAGE(INDEX($C$9:$C$112,A38-N_rap+1):C38))</f>
        <v>167.715833333333</v>
      </c>
      <c r="E38" s="16" t="n">
        <f aca="false">IF(A38&lt;N_len,"",AVERAGE(INDEX($C$9:$C$112,A38-N_len+1):C38))</f>
        <v>163.911923076923</v>
      </c>
      <c r="F38" s="16" t="n">
        <f aca="false">IF(E38="","",D38-E38)</f>
        <v>3.80391025641026</v>
      </c>
      <c r="G38" s="16" t="str">
        <f aca="false">IF(A38&lt;N_len+N_sen-1,"",AVERAGE(INDEX($F$9:$F$112,A38-N_sen+1):F38))</f>
        <v/>
      </c>
      <c r="H38" s="16" t="str">
        <f aca="false">IF(G38="","",F38-G38)</f>
        <v/>
      </c>
      <c r="I38" s="11" t="str">
        <f aca="false">IF(OR(H38="",H37=""),"",IF(AND(H37&lt;=0,H38&gt;0),"Cruce alcista",IF(AND(H37&gt;=0,H38&lt;0),"Cruce bajista","")))</f>
        <v/>
      </c>
      <c r="J38" s="18" t="n">
        <f aca="false">IF(OR(F38="",MACD_EMA!F38=""),"",F38-MACD_EMA!F38)</f>
        <v>-0.266344538079409</v>
      </c>
    </row>
    <row r="39" customFormat="false" ht="15" hidden="false" customHeight="false" outlineLevel="0" collapsed="false">
      <c r="A39" s="11" t="n">
        <f aca="false">ROW()-8</f>
        <v>31</v>
      </c>
      <c r="B39" s="14" t="n">
        <f aca="false">Datos!A32</f>
        <v>45765</v>
      </c>
      <c r="C39" s="15" t="n">
        <f aca="false">Datos!B32</f>
        <v>186.52</v>
      </c>
      <c r="D39" s="16" t="n">
        <f aca="false">IF(A39&lt;N_rap,"",AVERAGE(INDEX($C$9:$C$112,A39-N_rap+1):C39))</f>
        <v>170.16</v>
      </c>
      <c r="E39" s="16" t="n">
        <f aca="false">IF(A39&lt;N_len,"",AVERAGE(INDEX($C$9:$C$112,A39-N_len+1):C39))</f>
        <v>164.825769230769</v>
      </c>
      <c r="F39" s="16" t="n">
        <f aca="false">IF(E39="","",D39-E39)</f>
        <v>5.33423076923074</v>
      </c>
      <c r="G39" s="16" t="str">
        <f aca="false">IF(A39&lt;N_len+N_sen-1,"",AVERAGE(INDEX($F$9:$F$112,A39-N_sen+1):F39))</f>
        <v/>
      </c>
      <c r="H39" s="16" t="str">
        <f aca="false">IF(G39="","",F39-G39)</f>
        <v/>
      </c>
      <c r="I39" s="11" t="str">
        <f aca="false">IF(OR(H39="",H38=""),"",IF(AND(H38&lt;=0,H39&gt;0),"Cruce alcista",IF(AND(H38&gt;=0,H39&lt;0),"Cruce bajista","")))</f>
        <v/>
      </c>
      <c r="J39" s="18" t="n">
        <f aca="false">IF(OR(F39="",MACD_EMA!F39=""),"",F39-MACD_EMA!F39)</f>
        <v>0.317453909552114</v>
      </c>
    </row>
    <row r="40" customFormat="false" ht="15" hidden="false" customHeight="false" outlineLevel="0" collapsed="false">
      <c r="A40" s="11" t="n">
        <f aca="false">ROW()-8</f>
        <v>32</v>
      </c>
      <c r="B40" s="14" t="n">
        <f aca="false">Datos!A33</f>
        <v>45772</v>
      </c>
      <c r="C40" s="15" t="n">
        <f aca="false">Datos!B33</f>
        <v>194.98</v>
      </c>
      <c r="D40" s="16" t="n">
        <f aca="false">IF(A40&lt;N_rap,"",AVERAGE(INDEX($C$9:$C$112,A40-N_rap+1):C40))</f>
        <v>173.105833333333</v>
      </c>
      <c r="E40" s="16" t="n">
        <f aca="false">IF(A40&lt;N_len,"",AVERAGE(INDEX($C$9:$C$112,A40-N_len+1):C40))</f>
        <v>165.973846153846</v>
      </c>
      <c r="F40" s="16" t="n">
        <f aca="false">IF(E40="","",D40-E40)</f>
        <v>7.13198717948717</v>
      </c>
      <c r="G40" s="16" t="str">
        <f aca="false">IF(A40&lt;N_len+N_sen-1,"",AVERAGE(INDEX($F$9:$F$112,A40-N_sen+1):F40))</f>
        <v/>
      </c>
      <c r="H40" s="16" t="str">
        <f aca="false">IF(G40="","",F40-G40)</f>
        <v/>
      </c>
      <c r="I40" s="11" t="str">
        <f aca="false">IF(OR(H40="",H39=""),"",IF(AND(H39&lt;=0,H40&gt;0),"Cruce alcista",IF(AND(H39&gt;=0,H40&lt;0),"Cruce bajista","")))</f>
        <v/>
      </c>
      <c r="J40" s="18" t="n">
        <f aca="false">IF(OR(F40="",MACD_EMA!F40=""),"",F40-MACD_EMA!F40)</f>
        <v>0.755932654599832</v>
      </c>
    </row>
    <row r="41" customFormat="false" ht="15" hidden="false" customHeight="false" outlineLevel="0" collapsed="false">
      <c r="A41" s="11" t="n">
        <f aca="false">ROW()-8</f>
        <v>33</v>
      </c>
      <c r="B41" s="14" t="n">
        <f aca="false">Datos!A34</f>
        <v>45779</v>
      </c>
      <c r="C41" s="15" t="n">
        <f aca="false">Datos!B34</f>
        <v>193.98</v>
      </c>
      <c r="D41" s="16" t="n">
        <f aca="false">IF(A41&lt;N_rap,"",AVERAGE(INDEX($C$9:$C$112,A41-N_rap+1):C41))</f>
        <v>175.849166666667</v>
      </c>
      <c r="E41" s="16" t="n">
        <f aca="false">IF(A41&lt;N_len,"",AVERAGE(INDEX($C$9:$C$112,A41-N_len+1):C41))</f>
        <v>167.075</v>
      </c>
      <c r="F41" s="16" t="n">
        <f aca="false">IF(E41="","",D41-E41)</f>
        <v>8.77416666666667</v>
      </c>
      <c r="G41" s="16" t="str">
        <f aca="false">IF(A41&lt;N_len+N_sen-1,"",AVERAGE(INDEX($F$9:$F$112,A41-N_sen+1):F41))</f>
        <v/>
      </c>
      <c r="H41" s="16" t="str">
        <f aca="false">IF(G41="","",F41-G41)</f>
        <v/>
      </c>
      <c r="I41" s="11" t="str">
        <f aca="false">IF(OR(H41="",H40=""),"",IF(AND(H40&lt;=0,H41&gt;0),"Cruce alcista",IF(AND(H40&gt;=0,H41&lt;0),"Cruce bajista","")))</f>
        <v/>
      </c>
      <c r="J41" s="18" t="n">
        <f aca="false">IF(OR(F41="",MACD_EMA!F41=""),"",F41-MACD_EMA!F41)</f>
        <v>1.48558467786813</v>
      </c>
    </row>
    <row r="42" customFormat="false" ht="15" hidden="false" customHeight="false" outlineLevel="0" collapsed="false">
      <c r="A42" s="11" t="n">
        <f aca="false">ROW()-8</f>
        <v>34</v>
      </c>
      <c r="B42" s="14" t="n">
        <f aca="false">Datos!A35</f>
        <v>45786</v>
      </c>
      <c r="C42" s="15" t="n">
        <f aca="false">Datos!B35</f>
        <v>195.92</v>
      </c>
      <c r="D42" s="16" t="n">
        <f aca="false">IF(A42&lt;N_rap,"",AVERAGE(INDEX($C$9:$C$112,A42-N_rap+1):C42))</f>
        <v>179.1225</v>
      </c>
      <c r="E42" s="16" t="n">
        <f aca="false">IF(A42&lt;N_len,"",AVERAGE(INDEX($C$9:$C$112,A42-N_len+1):C42))</f>
        <v>168.385384615385</v>
      </c>
      <c r="F42" s="16" t="n">
        <f aca="false">IF(E42="","",D42-E42)</f>
        <v>10.7371153846154</v>
      </c>
      <c r="G42" s="16" t="n">
        <f aca="false">IF(A42&lt;N_len+N_sen-1,"",AVERAGE(INDEX($F$9:$F$112,A42-N_sen+1):F42))</f>
        <v>3.7429772079772</v>
      </c>
      <c r="H42" s="16" t="n">
        <f aca="false">IF(G42="","",F42-G42)</f>
        <v>6.99413817663815</v>
      </c>
      <c r="I42" s="11" t="str">
        <f aca="false">IF(OR(H42="",H41=""),"",IF(AND(H41&lt;=0,H42&gt;0),"Cruce alcista",IF(AND(H41&gt;=0,H42&lt;0),"Cruce bajista","")))</f>
        <v/>
      </c>
      <c r="J42" s="18" t="n">
        <f aca="false">IF(OR(F42="",MACD_EMA!F42=""),"",F42-MACD_EMA!F42)</f>
        <v>2.66189315473306</v>
      </c>
    </row>
    <row r="43" customFormat="false" ht="15" hidden="false" customHeight="false" outlineLevel="0" collapsed="false">
      <c r="A43" s="11" t="n">
        <f aca="false">ROW()-8</f>
        <v>35</v>
      </c>
      <c r="B43" s="14" t="n">
        <f aca="false">Datos!A36</f>
        <v>45793</v>
      </c>
      <c r="C43" s="15" t="n">
        <f aca="false">Datos!B36</f>
        <v>198.99</v>
      </c>
      <c r="D43" s="16" t="n">
        <f aca="false">IF(A43&lt;N_rap,"",AVERAGE(INDEX($C$9:$C$112,A43-N_rap+1):C43))</f>
        <v>182.315833333333</v>
      </c>
      <c r="E43" s="16" t="n">
        <f aca="false">IF(A43&lt;N_len,"",AVERAGE(INDEX($C$9:$C$112,A43-N_len+1):C43))</f>
        <v>169.674230769231</v>
      </c>
      <c r="F43" s="16" t="n">
        <f aca="false">IF(E43="","",D43-E43)</f>
        <v>12.6416025641026</v>
      </c>
      <c r="G43" s="16" t="n">
        <f aca="false">IF(A43&lt;N_len+N_sen-1,"",AVERAGE(INDEX($F$9:$F$112,A43-N_sen+1):F43))</f>
        <v>5.49007122507122</v>
      </c>
      <c r="H43" s="16" t="n">
        <f aca="false">IF(G43="","",F43-G43)</f>
        <v>7.15153133903137</v>
      </c>
      <c r="I43" s="11" t="str">
        <f aca="false">IF(OR(H43="",H42=""),"",IF(AND(H42&lt;=0,H43&gt;0),"Cruce alcista",IF(AND(H42&gt;=0,H43&lt;0),"Cruce bajista","")))</f>
        <v/>
      </c>
      <c r="J43" s="18" t="n">
        <f aca="false">IF(OR(F43="",MACD_EMA!F43=""),"",F43-MACD_EMA!F43)</f>
        <v>3.79719179468043</v>
      </c>
    </row>
    <row r="44" customFormat="false" ht="15" hidden="false" customHeight="false" outlineLevel="0" collapsed="false">
      <c r="A44" s="11" t="n">
        <f aca="false">ROW()-8</f>
        <v>36</v>
      </c>
      <c r="B44" s="14" t="n">
        <f aca="false">Datos!A37</f>
        <v>45800</v>
      </c>
      <c r="C44" s="15" t="n">
        <f aca="false">Datos!B37</f>
        <v>200.94</v>
      </c>
      <c r="D44" s="16" t="n">
        <f aca="false">IF(A44&lt;N_rap,"",AVERAGE(INDEX($C$9:$C$112,A44-N_rap+1):C44))</f>
        <v>185.505833333333</v>
      </c>
      <c r="E44" s="16" t="n">
        <f aca="false">IF(A44&lt;N_len,"",AVERAGE(INDEX($C$9:$C$112,A44-N_len+1):C44))</f>
        <v>171.166153846154</v>
      </c>
      <c r="F44" s="16" t="n">
        <f aca="false">IF(E44="","",D44-E44)</f>
        <v>14.3396794871795</v>
      </c>
      <c r="G44" s="16" t="n">
        <f aca="false">IF(A44&lt;N_len+N_sen-1,"",AVERAGE(INDEX($F$9:$F$112,A44-N_sen+1):F44))</f>
        <v>7.25848290598291</v>
      </c>
      <c r="H44" s="16" t="n">
        <f aca="false">IF(G44="","",F44-G44)</f>
        <v>7.08119658119662</v>
      </c>
      <c r="I44" s="11" t="str">
        <f aca="false">IF(OR(H44="",H43=""),"",IF(AND(H43&lt;=0,H44&gt;0),"Cruce alcista",IF(AND(H43&gt;=0,H44&lt;0),"Cruce bajista","")))</f>
        <v/>
      </c>
      <c r="J44" s="18" t="n">
        <f aca="false">IF(OR(F44="",MACD_EMA!F44=""),"",F44-MACD_EMA!F44)</f>
        <v>4.83786357446459</v>
      </c>
    </row>
    <row r="45" customFormat="false" ht="15" hidden="false" customHeight="false" outlineLevel="0" collapsed="false">
      <c r="A45" s="11" t="n">
        <f aca="false">ROW()-8</f>
        <v>37</v>
      </c>
      <c r="B45" s="14" t="n">
        <f aca="false">Datos!A38</f>
        <v>45807</v>
      </c>
      <c r="C45" s="15" t="n">
        <f aca="false">Datos!B38</f>
        <v>208.2</v>
      </c>
      <c r="D45" s="16" t="n">
        <f aca="false">IF(A45&lt;N_rap,"",AVERAGE(INDEX($C$9:$C$112,A45-N_rap+1):C45))</f>
        <v>189.03</v>
      </c>
      <c r="E45" s="16" t="n">
        <f aca="false">IF(A45&lt;N_len,"",AVERAGE(INDEX($C$9:$C$112,A45-N_len+1):C45))</f>
        <v>172.761538461538</v>
      </c>
      <c r="F45" s="16" t="n">
        <f aca="false">IF(E45="","",D45-E45)</f>
        <v>16.2684615384615</v>
      </c>
      <c r="G45" s="16" t="n">
        <f aca="false">IF(A45&lt;N_len+N_sen-1,"",AVERAGE(INDEX($F$9:$F$112,A45-N_sen+1):F45))</f>
        <v>9.01594729344729</v>
      </c>
      <c r="H45" s="16" t="n">
        <f aca="false">IF(G45="","",F45-G45)</f>
        <v>7.25251424501425</v>
      </c>
      <c r="I45" s="11" t="str">
        <f aca="false">IF(OR(H45="",H44=""),"",IF(AND(H44&lt;=0,H45&gt;0),"Cruce alcista",IF(AND(H44&gt;=0,H45&lt;0),"Cruce bajista","")))</f>
        <v/>
      </c>
      <c r="J45" s="18" t="n">
        <f aca="false">IF(OR(F45="",MACD_EMA!F45=""),"",F45-MACD_EMA!F45)</f>
        <v>5.78072211932306</v>
      </c>
    </row>
    <row r="46" customFormat="false" ht="15" hidden="false" customHeight="false" outlineLevel="0" collapsed="false">
      <c r="A46" s="11" t="n">
        <f aca="false">ROW()-8</f>
        <v>38</v>
      </c>
      <c r="B46" s="14" t="n">
        <f aca="false">Datos!A39</f>
        <v>45814</v>
      </c>
      <c r="C46" s="15" t="n">
        <f aca="false">Datos!B39</f>
        <v>202.26</v>
      </c>
      <c r="D46" s="16" t="n">
        <f aca="false">IF(A46&lt;N_rap,"",AVERAGE(INDEX($C$9:$C$112,A46-N_rap+1):C46))</f>
        <v>191.583333333333</v>
      </c>
      <c r="E46" s="16" t="n">
        <f aca="false">IF(A46&lt;N_len,"",AVERAGE(INDEX($C$9:$C$112,A46-N_len+1):C46))</f>
        <v>174.299615384615</v>
      </c>
      <c r="F46" s="16" t="n">
        <f aca="false">IF(E46="","",D46-E46)</f>
        <v>17.283717948718</v>
      </c>
      <c r="G46" s="16" t="n">
        <f aca="false">IF(A46&lt;N_len+N_sen-1,"",AVERAGE(INDEX($F$9:$F$112,A46-N_sen+1):F46))</f>
        <v>10.7016524216524</v>
      </c>
      <c r="H46" s="16" t="n">
        <f aca="false">IF(G46="","",F46-G46)</f>
        <v>6.58206552706554</v>
      </c>
      <c r="I46" s="11" t="str">
        <f aca="false">IF(OR(H46="",H45=""),"",IF(AND(H45&lt;=0,H46&gt;0),"Cruce alcista",IF(AND(H45&gt;=0,H46&lt;0),"Cruce bajista","")))</f>
        <v/>
      </c>
      <c r="J46" s="18" t="n">
        <f aca="false">IF(OR(F46="",MACD_EMA!F46=""),"",F46-MACD_EMA!F46)</f>
        <v>6.61689588972217</v>
      </c>
    </row>
    <row r="47" customFormat="false" ht="15" hidden="false" customHeight="false" outlineLevel="0" collapsed="false">
      <c r="A47" s="11" t="n">
        <f aca="false">ROW()-8</f>
        <v>39</v>
      </c>
      <c r="B47" s="14" t="n">
        <f aca="false">Datos!A40</f>
        <v>45821</v>
      </c>
      <c r="C47" s="15" t="n">
        <f aca="false">Datos!B40</f>
        <v>206.99</v>
      </c>
      <c r="D47" s="16" t="n">
        <f aca="false">IF(A47&lt;N_rap,"",AVERAGE(INDEX($C$9:$C$112,A47-N_rap+1):C47))</f>
        <v>193.99</v>
      </c>
      <c r="E47" s="16" t="n">
        <f aca="false">IF(A47&lt;N_len,"",AVERAGE(INDEX($C$9:$C$112,A47-N_len+1):C47))</f>
        <v>176.153076923077</v>
      </c>
      <c r="F47" s="16" t="n">
        <f aca="false">IF(E47="","",D47-E47)</f>
        <v>17.8369230769231</v>
      </c>
      <c r="G47" s="16" t="n">
        <f aca="false">IF(A47&lt;N_len+N_sen-1,"",AVERAGE(INDEX($F$9:$F$112,A47-N_sen+1):F47))</f>
        <v>12.2608760683761</v>
      </c>
      <c r="H47" s="16" t="n">
        <f aca="false">IF(G47="","",F47-G47)</f>
        <v>5.57604700854704</v>
      </c>
      <c r="I47" s="11" t="str">
        <f aca="false">IF(OR(H47="",H46=""),"",IF(AND(H46&lt;=0,H47&gt;0),"Cruce alcista",IF(AND(H46&gt;=0,H47&lt;0),"Cruce bajista","")))</f>
        <v/>
      </c>
      <c r="J47" s="18" t="n">
        <f aca="false">IF(OR(F47="",MACD_EMA!F47=""),"",F47-MACD_EMA!F47)</f>
        <v>6.7740313947798</v>
      </c>
    </row>
    <row r="48" customFormat="false" ht="15" hidden="false" customHeight="false" outlineLevel="0" collapsed="false">
      <c r="A48" s="11" t="n">
        <f aca="false">ROW()-8</f>
        <v>40</v>
      </c>
      <c r="B48" s="14" t="n">
        <f aca="false">Datos!A41</f>
        <v>45828</v>
      </c>
      <c r="C48" s="15" t="n">
        <f aca="false">Datos!B41</f>
        <v>208.88</v>
      </c>
      <c r="D48" s="16" t="n">
        <f aca="false">IF(A48&lt;N_rap,"",AVERAGE(INDEX($C$9:$C$112,A48-N_rap+1):C48))</f>
        <v>196.59</v>
      </c>
      <c r="E48" s="16" t="n">
        <f aca="false">IF(A48&lt;N_len,"",AVERAGE(INDEX($C$9:$C$112,A48-N_len+1):C48))</f>
        <v>177.863076923077</v>
      </c>
      <c r="F48" s="16" t="n">
        <f aca="false">IF(E48="","",D48-E48)</f>
        <v>18.7269230769231</v>
      </c>
      <c r="G48" s="16" t="n">
        <f aca="false">IF(A48&lt;N_len+N_sen-1,"",AVERAGE(INDEX($F$9:$F$112,A48-N_sen+1):F48))</f>
        <v>13.748952991453</v>
      </c>
      <c r="H48" s="16" t="n">
        <f aca="false">IF(G48="","",F48-G48)</f>
        <v>4.9779700854701</v>
      </c>
      <c r="I48" s="11" t="str">
        <f aca="false">IF(OR(H48="",H47=""),"",IF(AND(H47&lt;=0,H48&gt;0),"Cruce alcista",IF(AND(H47&gt;=0,H48&lt;0),"Cruce bajista","")))</f>
        <v/>
      </c>
      <c r="J48" s="18" t="n">
        <f aca="false">IF(OR(F48="",MACD_EMA!F48=""),"",F48-MACD_EMA!F48)</f>
        <v>7.3290240453866</v>
      </c>
    </row>
    <row r="49" customFormat="false" ht="15" hidden="false" customHeight="false" outlineLevel="0" collapsed="false">
      <c r="A49" s="11" t="n">
        <f aca="false">ROW()-8</f>
        <v>41</v>
      </c>
      <c r="B49" s="14" t="n">
        <f aca="false">Datos!A42</f>
        <v>45835</v>
      </c>
      <c r="C49" s="15" t="n">
        <f aca="false">Datos!B42</f>
        <v>210.21</v>
      </c>
      <c r="D49" s="16" t="n">
        <f aca="false">IF(A49&lt;N_rap,"",AVERAGE(INDEX($C$9:$C$112,A49-N_rap+1):C49))</f>
        <v>199.595</v>
      </c>
      <c r="E49" s="16" t="n">
        <f aca="false">IF(A49&lt;N_len,"",AVERAGE(INDEX($C$9:$C$112,A49-N_len+1):C49))</f>
        <v>179.977307692308</v>
      </c>
      <c r="F49" s="16" t="n">
        <f aca="false">IF(E49="","",D49-E49)</f>
        <v>19.6176923076923</v>
      </c>
      <c r="G49" s="16" t="n">
        <f aca="false">IF(A49&lt;N_len+N_sen-1,"",AVERAGE(INDEX($F$9:$F$112,A49-N_sen+1):F49))</f>
        <v>15.1362535612536</v>
      </c>
      <c r="H49" s="16" t="n">
        <f aca="false">IF(G49="","",F49-G49)</f>
        <v>4.48143874643875</v>
      </c>
      <c r="I49" s="11" t="str">
        <f aca="false">IF(OR(H49="",H48=""),"",IF(AND(H48&lt;=0,H49&gt;0),"Cruce alcista",IF(AND(H48&gt;=0,H49&lt;0),"Cruce bajista","")))</f>
        <v/>
      </c>
      <c r="J49" s="18" t="n">
        <f aca="false">IF(OR(F49="",MACD_EMA!F49=""),"",F49-MACD_EMA!F49)</f>
        <v>7.98111685177702</v>
      </c>
    </row>
    <row r="50" customFormat="false" ht="15" hidden="false" customHeight="false" outlineLevel="0" collapsed="false">
      <c r="A50" s="11" t="n">
        <f aca="false">ROW()-8</f>
        <v>42</v>
      </c>
      <c r="B50" s="14" t="n">
        <f aca="false">Datos!A43</f>
        <v>45842</v>
      </c>
      <c r="C50" s="15" t="n">
        <f aca="false">Datos!B43</f>
        <v>215.78</v>
      </c>
      <c r="D50" s="16" t="n">
        <f aca="false">IF(A50&lt;N_rap,"",AVERAGE(INDEX($C$9:$C$112,A50-N_rap+1):C50))</f>
        <v>201.970833333333</v>
      </c>
      <c r="E50" s="16" t="n">
        <f aca="false">IF(A50&lt;N_len,"",AVERAGE(INDEX($C$9:$C$112,A50-N_len+1):C50))</f>
        <v>182.474230769231</v>
      </c>
      <c r="F50" s="16" t="n">
        <f aca="false">IF(E50="","",D50-E50)</f>
        <v>19.4966025641026</v>
      </c>
      <c r="G50" s="16" t="n">
        <f aca="false">IF(A50&lt;N_len+N_sen-1,"",AVERAGE(INDEX($F$9:$F$112,A50-N_sen+1):F50))</f>
        <v>16.3276353276353</v>
      </c>
      <c r="H50" s="16" t="n">
        <f aca="false">IF(G50="","",F50-G50)</f>
        <v>3.16896723646723</v>
      </c>
      <c r="I50" s="11" t="str">
        <f aca="false">IF(OR(H50="",H49=""),"",IF(AND(H49&lt;=0,H50&gt;0),"Cruce alcista",IF(AND(H49&gt;=0,H50&lt;0),"Cruce bajista","")))</f>
        <v/>
      </c>
      <c r="J50" s="18" t="n">
        <f aca="false">IF(OR(F50="",MACD_EMA!F50=""),"",F50-MACD_EMA!F50)</f>
        <v>7.36130997177554</v>
      </c>
    </row>
    <row r="51" customFormat="false" ht="15" hidden="false" customHeight="false" outlineLevel="0" collapsed="false">
      <c r="A51" s="11" t="n">
        <f aca="false">ROW()-8</f>
        <v>43</v>
      </c>
      <c r="B51" s="14" t="n">
        <f aca="false">Datos!A44</f>
        <v>45849</v>
      </c>
      <c r="C51" s="15" t="n">
        <f aca="false">Datos!B44</f>
        <v>215.34</v>
      </c>
      <c r="D51" s="16" t="n">
        <f aca="false">IF(A51&lt;N_rap,"",AVERAGE(INDEX($C$9:$C$112,A51-N_rap+1):C51))</f>
        <v>204.3725</v>
      </c>
      <c r="E51" s="16" t="n">
        <f aca="false">IF(A51&lt;N_len,"",AVERAGE(INDEX($C$9:$C$112,A51-N_len+1):C51))</f>
        <v>184.937307692308</v>
      </c>
      <c r="F51" s="16" t="n">
        <f aca="false">IF(E51="","",D51-E51)</f>
        <v>19.4351923076923</v>
      </c>
      <c r="G51" s="16" t="n">
        <f aca="false">IF(A51&lt;N_len+N_sen-1,"",AVERAGE(INDEX($F$9:$F$112,A51-N_sen+1):F51))</f>
        <v>17.2940883190883</v>
      </c>
      <c r="H51" s="16" t="n">
        <f aca="false">IF(G51="","",F51-G51)</f>
        <v>2.14110398860396</v>
      </c>
      <c r="I51" s="11" t="str">
        <f aca="false">IF(OR(H51="",H50=""),"",IF(AND(H50&lt;=0,H51&gt;0),"Cruce alcista",IF(AND(H50&gt;=0,H51&lt;0),"Cruce bajista","")))</f>
        <v/>
      </c>
      <c r="J51" s="18" t="n">
        <f aca="false">IF(OR(F51="",MACD_EMA!F51=""),"",F51-MACD_EMA!F51)</f>
        <v>7.08256056395808</v>
      </c>
    </row>
    <row r="52" customFormat="false" ht="15" hidden="false" customHeight="false" outlineLevel="0" collapsed="false">
      <c r="A52" s="11" t="n">
        <f aca="false">ROW()-8</f>
        <v>44</v>
      </c>
      <c r="B52" s="14" t="n">
        <f aca="false">Datos!A45</f>
        <v>45856</v>
      </c>
      <c r="C52" s="15" t="n">
        <f aca="false">Datos!B45</f>
        <v>208.66</v>
      </c>
      <c r="D52" s="16" t="n">
        <f aca="false">IF(A52&lt;N_rap,"",AVERAGE(INDEX($C$9:$C$112,A52-N_rap+1):C52))</f>
        <v>205.5125</v>
      </c>
      <c r="E52" s="16" t="n">
        <f aca="false">IF(A52&lt;N_len,"",AVERAGE(INDEX($C$9:$C$112,A52-N_len+1):C52))</f>
        <v>186.932307692308</v>
      </c>
      <c r="F52" s="16" t="n">
        <f aca="false">IF(E52="","",D52-E52)</f>
        <v>18.5801923076923</v>
      </c>
      <c r="G52" s="16" t="n">
        <f aca="false">IF(A52&lt;N_len+N_sen-1,"",AVERAGE(INDEX($F$9:$F$112,A52-N_sen+1):F52))</f>
        <v>17.9539316239316</v>
      </c>
      <c r="H52" s="16" t="n">
        <f aca="false">IF(G52="","",F52-G52)</f>
        <v>0.626260683760691</v>
      </c>
      <c r="I52" s="11" t="str">
        <f aca="false">IF(OR(H52="",H51=""),"",IF(AND(H51&lt;=0,H52&gt;0),"Cruce alcista",IF(AND(H51&gt;=0,H52&lt;0),"Cruce bajista","")))</f>
        <v/>
      </c>
      <c r="J52" s="18" t="n">
        <f aca="false">IF(OR(F52="",MACD_EMA!F52=""),"",F52-MACD_EMA!F52)</f>
        <v>6.73092882702923</v>
      </c>
    </row>
    <row r="53" customFormat="false" ht="15" hidden="false" customHeight="false" outlineLevel="0" collapsed="false">
      <c r="A53" s="11" t="n">
        <f aca="false">ROW()-8</f>
        <v>45</v>
      </c>
      <c r="B53" s="14" t="n">
        <f aca="false">Datos!A46</f>
        <v>45863</v>
      </c>
      <c r="C53" s="15" t="n">
        <f aca="false">Datos!B46</f>
        <v>206.67</v>
      </c>
      <c r="D53" s="16" t="n">
        <f aca="false">IF(A53&lt;N_rap,"",AVERAGE(INDEX($C$9:$C$112,A53-N_rap+1):C53))</f>
        <v>206.57</v>
      </c>
      <c r="E53" s="16" t="n">
        <f aca="false">IF(A53&lt;N_len,"",AVERAGE(INDEX($C$9:$C$112,A53-N_len+1):C53))</f>
        <v>188.835384615385</v>
      </c>
      <c r="F53" s="16" t="n">
        <f aca="false">IF(E53="","",D53-E53)</f>
        <v>17.7346153846154</v>
      </c>
      <c r="G53" s="16" t="n">
        <f aca="false">IF(A53&lt;N_len+N_sen-1,"",AVERAGE(INDEX($F$9:$F$112,A53-N_sen+1):F53))</f>
        <v>18.3311467236467</v>
      </c>
      <c r="H53" s="16" t="n">
        <f aca="false">IF(G53="","",F53-G53)</f>
        <v>-0.59653133903133</v>
      </c>
      <c r="I53" s="11" t="str">
        <f aca="false">IF(OR(H53="",H52=""),"",IF(AND(H52&lt;=0,H53&gt;0),"Cruce alcista",IF(AND(H52&gt;=0,H53&lt;0),"Cruce bajista","")))</f>
        <v>Cruce bajista</v>
      </c>
      <c r="J53" s="18" t="n">
        <f aca="false">IF(OR(F53="",MACD_EMA!F53=""),"",F53-MACD_EMA!F53)</f>
        <v>6.57350952864522</v>
      </c>
    </row>
    <row r="54" customFormat="false" ht="15" hidden="false" customHeight="false" outlineLevel="0" collapsed="false">
      <c r="A54" s="11" t="n">
        <f aca="false">ROW()-8</f>
        <v>46</v>
      </c>
      <c r="B54" s="14" t="n">
        <f aca="false">Datos!A47</f>
        <v>45870</v>
      </c>
      <c r="C54" s="15" t="n">
        <f aca="false">Datos!B47</f>
        <v>208.54</v>
      </c>
      <c r="D54" s="16" t="n">
        <f aca="false">IF(A54&lt;N_rap,"",AVERAGE(INDEX($C$9:$C$112,A54-N_rap+1):C54))</f>
        <v>207.621666666667</v>
      </c>
      <c r="E54" s="16" t="n">
        <f aca="false">IF(A54&lt;N_len,"",AVERAGE(INDEX($C$9:$C$112,A54-N_len+1):C54))</f>
        <v>190.716538461538</v>
      </c>
      <c r="F54" s="16" t="n">
        <f aca="false">IF(E54="","",D54-E54)</f>
        <v>16.9051282051282</v>
      </c>
      <c r="G54" s="16" t="n">
        <f aca="false">IF(A54&lt;N_len+N_sen-1,"",AVERAGE(INDEX($F$9:$F$112,A54-N_sen+1):F54))</f>
        <v>18.4018874643875</v>
      </c>
      <c r="H54" s="16" t="n">
        <f aca="false">IF(G54="","",F54-G54)</f>
        <v>-1.49675925925929</v>
      </c>
      <c r="I54" s="11" t="str">
        <f aca="false">IF(OR(H54="",H53=""),"",IF(AND(H53&lt;=0,H54&gt;0),"Cruce alcista",IF(AND(H53&gt;=0,H54&lt;0),"Cruce bajista","")))</f>
        <v/>
      </c>
      <c r="J54" s="18" t="n">
        <f aca="false">IF(OR(F54="",MACD_EMA!F54=""),"",F54-MACD_EMA!F54)</f>
        <v>6.26119548367205</v>
      </c>
    </row>
    <row r="55" customFormat="false" ht="15" hidden="false" customHeight="false" outlineLevel="0" collapsed="false">
      <c r="A55" s="11" t="n">
        <f aca="false">ROW()-8</f>
        <v>47</v>
      </c>
      <c r="B55" s="14" t="n">
        <f aca="false">Datos!A48</f>
        <v>45877</v>
      </c>
      <c r="C55" s="15" t="n">
        <f aca="false">Datos!B48</f>
        <v>212</v>
      </c>
      <c r="D55" s="16" t="n">
        <f aca="false">IF(A55&lt;N_rap,"",AVERAGE(INDEX($C$9:$C$112,A55-N_rap+1):C55))</f>
        <v>208.705833333333</v>
      </c>
      <c r="E55" s="16" t="n">
        <f aca="false">IF(A55&lt;N_len,"",AVERAGE(INDEX($C$9:$C$112,A55-N_len+1):C55))</f>
        <v>192.675769230769</v>
      </c>
      <c r="F55" s="16" t="n">
        <f aca="false">IF(E55="","",D55-E55)</f>
        <v>16.0300641025641</v>
      </c>
      <c r="G55" s="16" t="n">
        <f aca="false">IF(A55&lt;N_len+N_sen-1,"",AVERAGE(INDEX($F$9:$F$112,A55-N_sen+1):F55))</f>
        <v>18.2625925925926</v>
      </c>
      <c r="H55" s="16" t="n">
        <f aca="false">IF(G55="","",F55-G55)</f>
        <v>-2.23252849002851</v>
      </c>
      <c r="I55" s="11" t="str">
        <f aca="false">IF(OR(H55="",H54=""),"",IF(AND(H54&lt;=0,H55&gt;0),"Cruce alcista",IF(AND(H54&gt;=0,H55&lt;0),"Cruce bajista","")))</f>
        <v/>
      </c>
      <c r="J55" s="18" t="n">
        <f aca="false">IF(OR(F55="",MACD_EMA!F55=""),"",F55-MACD_EMA!F55)</f>
        <v>5.63661099044467</v>
      </c>
    </row>
    <row r="56" customFormat="false" ht="15" hidden="false" customHeight="false" outlineLevel="0" collapsed="false">
      <c r="A56" s="11" t="n">
        <f aca="false">ROW()-8</f>
        <v>48</v>
      </c>
      <c r="B56" s="14" t="n">
        <f aca="false">Datos!A49</f>
        <v>45884</v>
      </c>
      <c r="C56" s="15" t="n">
        <f aca="false">Datos!B49</f>
        <v>211.98</v>
      </c>
      <c r="D56" s="16" t="n">
        <f aca="false">IF(A56&lt;N_rap,"",AVERAGE(INDEX($C$9:$C$112,A56-N_rap+1):C56))</f>
        <v>209.625833333333</v>
      </c>
      <c r="E56" s="16" t="n">
        <f aca="false">IF(A56&lt;N_len,"",AVERAGE(INDEX($C$9:$C$112,A56-N_len+1):C56))</f>
        <v>194.804230769231</v>
      </c>
      <c r="F56" s="16" t="n">
        <f aca="false">IF(E56="","",D56-E56)</f>
        <v>14.8216025641025</v>
      </c>
      <c r="G56" s="16" t="n">
        <f aca="false">IF(A56&lt;N_len+N_sen-1,"",AVERAGE(INDEX($F$9:$F$112,A56-N_sen+1):F56))</f>
        <v>17.927556980057</v>
      </c>
      <c r="H56" s="16" t="n">
        <f aca="false">IF(G56="","",F56-G56)</f>
        <v>-3.10595441595445</v>
      </c>
      <c r="I56" s="11" t="str">
        <f aca="false">IF(OR(H56="",H55=""),"",IF(AND(H55&lt;=0,H56&gt;0),"Cruce alcista",IF(AND(H55&gt;=0,H56&lt;0),"Cruce bajista","")))</f>
        <v/>
      </c>
      <c r="J56" s="18" t="n">
        <f aca="false">IF(OR(F56="",MACD_EMA!F56=""),"",F56-MACD_EMA!F56)</f>
        <v>4.74443351185795</v>
      </c>
    </row>
    <row r="57" customFormat="false" ht="15" hidden="false" customHeight="false" outlineLevel="0" collapsed="false">
      <c r="A57" s="11" t="n">
        <f aca="false">ROW()-8</f>
        <v>49</v>
      </c>
      <c r="B57" s="14" t="n">
        <f aca="false">Datos!A50</f>
        <v>45891</v>
      </c>
      <c r="C57" s="15" t="n">
        <f aca="false">Datos!B50</f>
        <v>222</v>
      </c>
      <c r="D57" s="16" t="n">
        <f aca="false">IF(A57&lt;N_rap,"",AVERAGE(INDEX($C$9:$C$112,A57-N_rap+1):C57))</f>
        <v>210.775833333333</v>
      </c>
      <c r="E57" s="16" t="n">
        <f aca="false">IF(A57&lt;N_len,"",AVERAGE(INDEX($C$9:$C$112,A57-N_len+1):C57))</f>
        <v>197.163076923077</v>
      </c>
      <c r="F57" s="16" t="n">
        <f aca="false">IF(E57="","",D57-E57)</f>
        <v>13.6127564102564</v>
      </c>
      <c r="G57" s="16" t="n">
        <f aca="false">IF(A57&lt;N_len+N_sen-1,"",AVERAGE(INDEX($F$9:$F$112,A57-N_sen+1):F57))</f>
        <v>17.3593162393162</v>
      </c>
      <c r="H57" s="16" t="n">
        <f aca="false">IF(G57="","",F57-G57)</f>
        <v>-3.74655982905982</v>
      </c>
      <c r="I57" s="11" t="str">
        <f aca="false">IF(OR(H57="",H56=""),"",IF(AND(H56&lt;=0,H57&gt;0),"Cruce alcista",IF(AND(H56&gt;=0,H57&lt;0),"Cruce bajista","")))</f>
        <v/>
      </c>
      <c r="J57" s="18" t="n">
        <f aca="false">IF(OR(F57="",MACD_EMA!F57=""),"",F57-MACD_EMA!F57)</f>
        <v>3.09891155366586</v>
      </c>
    </row>
    <row r="58" customFormat="false" ht="15" hidden="false" customHeight="false" outlineLevel="0" collapsed="false">
      <c r="A58" s="11" t="n">
        <f aca="false">ROW()-8</f>
        <v>50</v>
      </c>
      <c r="B58" s="14" t="n">
        <f aca="false">Datos!A51</f>
        <v>45898</v>
      </c>
      <c r="C58" s="15" t="n">
        <f aca="false">Datos!B51</f>
        <v>227.24</v>
      </c>
      <c r="D58" s="16" t="n">
        <f aca="false">IF(A58&lt;N_rap,"",AVERAGE(INDEX($C$9:$C$112,A58-N_rap+1):C58))</f>
        <v>212.8575</v>
      </c>
      <c r="E58" s="16" t="n">
        <f aca="false">IF(A58&lt;N_len,"",AVERAGE(INDEX($C$9:$C$112,A58-N_len+1):C58))</f>
        <v>199.646923076923</v>
      </c>
      <c r="F58" s="16" t="n">
        <f aca="false">IF(E58="","",D58-E58)</f>
        <v>13.2105769230769</v>
      </c>
      <c r="G58" s="16" t="n">
        <f aca="false">IF(A58&lt;N_len+N_sen-1,"",AVERAGE(INDEX($F$9:$F$112,A58-N_sen+1):F58))</f>
        <v>16.6474145299145</v>
      </c>
      <c r="H58" s="16" t="n">
        <f aca="false">IF(G58="","",F58-G58)</f>
        <v>-3.4368376068376</v>
      </c>
      <c r="I58" s="11" t="str">
        <f aca="false">IF(OR(H58="",H57=""),"",IF(AND(H57&lt;=0,H58&gt;0),"Cruce alcista",IF(AND(H57&gt;=0,H58&lt;0),"Cruce bajista","")))</f>
        <v/>
      </c>
      <c r="J58" s="18" t="n">
        <f aca="false">IF(OR(F58="",MACD_EMA!F58=""),"",F58-MACD_EMA!F58)</f>
        <v>2.05641734634739</v>
      </c>
    </row>
    <row r="59" customFormat="false" ht="15" hidden="false" customHeight="false" outlineLevel="0" collapsed="false">
      <c r="A59" s="11" t="n">
        <f aca="false">ROW()-8</f>
        <v>51</v>
      </c>
      <c r="B59" s="14" t="n">
        <f aca="false">Datos!A52</f>
        <v>45905</v>
      </c>
      <c r="C59" s="15" t="n">
        <f aca="false">Datos!B52</f>
        <v>220.26</v>
      </c>
      <c r="D59" s="16" t="n">
        <f aca="false">IF(A59&lt;N_rap,"",AVERAGE(INDEX($C$9:$C$112,A59-N_rap+1):C59))</f>
        <v>213.963333333333</v>
      </c>
      <c r="E59" s="16" t="n">
        <f aca="false">IF(A59&lt;N_len,"",AVERAGE(INDEX($C$9:$C$112,A59-N_len+1):C59))</f>
        <v>201.737307692308</v>
      </c>
      <c r="F59" s="16" t="n">
        <f aca="false">IF(E59="","",D59-E59)</f>
        <v>12.2260256410256</v>
      </c>
      <c r="G59" s="16" t="n">
        <f aca="false">IF(A59&lt;N_len+N_sen-1,"",AVERAGE(INDEX($F$9:$F$112,A59-N_sen+1):F59))</f>
        <v>15.8395726495727</v>
      </c>
      <c r="H59" s="16" t="n">
        <f aca="false">IF(G59="","",F59-G59)</f>
        <v>-3.61354700854701</v>
      </c>
      <c r="I59" s="11" t="str">
        <f aca="false">IF(OR(H59="",H58=""),"",IF(AND(H58&lt;=0,H59&gt;0),"Cruce alcista",IF(AND(H58&gt;=0,H59&lt;0),"Cruce bajista","")))</f>
        <v/>
      </c>
      <c r="J59" s="18" t="n">
        <f aca="false">IF(OR(F59="",MACD_EMA!F59=""),"",F59-MACD_EMA!F59)</f>
        <v>1.25411703372262</v>
      </c>
    </row>
    <row r="60" customFormat="false" ht="15" hidden="false" customHeight="false" outlineLevel="0" collapsed="false">
      <c r="A60" s="11" t="n">
        <f aca="false">ROW()-8</f>
        <v>52</v>
      </c>
      <c r="B60" s="14" t="n">
        <f aca="false">Datos!A53</f>
        <v>45912</v>
      </c>
      <c r="C60" s="15" t="n">
        <f aca="false">Datos!B53</f>
        <v>218.31</v>
      </c>
      <c r="D60" s="16" t="n">
        <f aca="false">IF(A60&lt;N_rap,"",AVERAGE(INDEX($C$9:$C$112,A60-N_rap+1):C60))</f>
        <v>214.749166666667</v>
      </c>
      <c r="E60" s="16" t="n">
        <f aca="false">IF(A60&lt;N_len,"",AVERAGE(INDEX($C$9:$C$112,A60-N_len+1):C60))</f>
        <v>203.533076923077</v>
      </c>
      <c r="F60" s="16" t="n">
        <f aca="false">IF(E60="","",D60-E60)</f>
        <v>11.2160897435897</v>
      </c>
      <c r="G60" s="16" t="n">
        <f aca="false">IF(A60&lt;N_len+N_sen-1,"",AVERAGE(INDEX($F$9:$F$112,A60-N_sen+1):F60))</f>
        <v>14.926339031339</v>
      </c>
      <c r="H60" s="16" t="n">
        <f aca="false">IF(G60="","",F60-G60)</f>
        <v>-3.71024928774931</v>
      </c>
      <c r="I60" s="11" t="str">
        <f aca="false">IF(OR(H60="",H59=""),"",IF(AND(H59&lt;=0,H60&gt;0),"Cruce alcista",IF(AND(H59&gt;=0,H60&lt;0),"Cruce bajista","")))</f>
        <v/>
      </c>
      <c r="J60" s="18" t="n">
        <f aca="false">IF(OR(F60="",MACD_EMA!F60=""),"",F60-MACD_EMA!F60)</f>
        <v>0.667561908427729</v>
      </c>
    </row>
    <row r="61" customFormat="false" ht="15" hidden="false" customHeight="false" outlineLevel="0" collapsed="false">
      <c r="A61" s="11" t="n">
        <f aca="false">ROW()-8</f>
        <v>53</v>
      </c>
      <c r="B61" s="14" t="n">
        <f aca="false">Datos!A54</f>
        <v>45919</v>
      </c>
      <c r="C61" s="15" t="n">
        <f aca="false">Datos!B54</f>
        <v>228.09</v>
      </c>
      <c r="D61" s="16" t="n">
        <f aca="false">IF(A61&lt;N_rap,"",AVERAGE(INDEX($C$9:$C$112,A61-N_rap+1):C61))</f>
        <v>216.239166666667</v>
      </c>
      <c r="E61" s="16" t="n">
        <f aca="false">IF(A61&lt;N_len,"",AVERAGE(INDEX($C$9:$C$112,A61-N_len+1):C61))</f>
        <v>205.455384615385</v>
      </c>
      <c r="F61" s="16" t="n">
        <f aca="false">IF(E61="","",D61-E61)</f>
        <v>10.783782051282</v>
      </c>
      <c r="G61" s="16" t="n">
        <f aca="false">IF(A61&lt;N_len+N_sen-1,"",AVERAGE(INDEX($F$9:$F$112,A61-N_sen+1):F61))</f>
        <v>14.0600712250712</v>
      </c>
      <c r="H61" s="16" t="n">
        <f aca="false">IF(G61="","",F61-G61)</f>
        <v>-3.27628917378919</v>
      </c>
      <c r="I61" s="11" t="str">
        <f aca="false">IF(OR(H61="",H60=""),"",IF(AND(H60&lt;=0,H61&gt;0),"Cruce alcista",IF(AND(H60&gt;=0,H61&lt;0),"Cruce bajista","")))</f>
        <v/>
      </c>
      <c r="J61" s="18" t="n">
        <f aca="false">IF(OR(F61="",MACD_EMA!F61=""),"",F61-MACD_EMA!F61)</f>
        <v>-0.0929969984684931</v>
      </c>
    </row>
    <row r="62" customFormat="false" ht="15" hidden="false" customHeight="false" outlineLevel="0" collapsed="false">
      <c r="A62" s="11" t="n">
        <f aca="false">ROW()-8</f>
        <v>54</v>
      </c>
      <c r="B62" s="14" t="n">
        <f aca="false">Datos!A55</f>
        <v>45926</v>
      </c>
      <c r="C62" s="15" t="n">
        <f aca="false">Datos!B55</f>
        <v>226.09</v>
      </c>
      <c r="D62" s="16" t="n">
        <f aca="false">IF(A62&lt;N_rap,"",AVERAGE(INDEX($C$9:$C$112,A62-N_rap+1):C62))</f>
        <v>217.098333333333</v>
      </c>
      <c r="E62" s="16" t="n">
        <f aca="false">IF(A62&lt;N_len,"",AVERAGE(INDEX($C$9:$C$112,A62-N_len+1):C62))</f>
        <v>207.317307692308</v>
      </c>
      <c r="F62" s="16" t="n">
        <f aca="false">IF(E62="","",D62-E62)</f>
        <v>9.78102564102565</v>
      </c>
      <c r="G62" s="16" t="n">
        <f aca="false">IF(A62&lt;N_len+N_sen-1,"",AVERAGE(INDEX($F$9:$F$112,A62-N_sen+1):F62))</f>
        <v>13.176339031339</v>
      </c>
      <c r="H62" s="16" t="n">
        <f aca="false">IF(G62="","",F62-G62)</f>
        <v>-3.39531339031337</v>
      </c>
      <c r="I62" s="11" t="str">
        <f aca="false">IF(OR(H62="",H61=""),"",IF(AND(H61&lt;=0,H62&gt;0),"Cruce alcista",IF(AND(H61&gt;=0,H62&lt;0),"Cruce bajista","")))</f>
        <v/>
      </c>
      <c r="J62" s="18" t="n">
        <f aca="false">IF(OR(F62="",MACD_EMA!F62=""),"",F62-MACD_EMA!F62)</f>
        <v>-1.06943422870447</v>
      </c>
    </row>
    <row r="63" customFormat="false" ht="15" hidden="false" customHeight="false" outlineLevel="0" collapsed="false">
      <c r="A63" s="11" t="n">
        <f aca="false">ROW()-8</f>
        <v>55</v>
      </c>
      <c r="B63" s="14" t="n">
        <f aca="false">Datos!A56</f>
        <v>45933</v>
      </c>
      <c r="C63" s="15" t="n">
        <f aca="false">Datos!B56</f>
        <v>220.08</v>
      </c>
      <c r="D63" s="16" t="n">
        <f aca="false">IF(A63&lt;N_rap,"",AVERAGE(INDEX($C$9:$C$112,A63-N_rap+1):C63))</f>
        <v>217.493333333333</v>
      </c>
      <c r="E63" s="16" t="n">
        <f aca="false">IF(A63&lt;N_len,"",AVERAGE(INDEX($C$9:$C$112,A63-N_len+1):C63))</f>
        <v>209.083846153846</v>
      </c>
      <c r="F63" s="16" t="n">
        <f aca="false">IF(E63="","",D63-E63)</f>
        <v>8.40948717948717</v>
      </c>
      <c r="G63" s="16" t="n">
        <f aca="false">IF(A63&lt;N_len+N_sen-1,"",AVERAGE(INDEX($F$9:$F$112,A63-N_sen+1):F63))</f>
        <v>12.2323789173789</v>
      </c>
      <c r="H63" s="16" t="n">
        <f aca="false">IF(G63="","",F63-G63)</f>
        <v>-3.82289173789174</v>
      </c>
      <c r="I63" s="11" t="str">
        <f aca="false">IF(OR(H63="",H62=""),"",IF(AND(H62&lt;=0,H63&gt;0),"Cruce alcista",IF(AND(H62&gt;=0,H63&lt;0),"Cruce bajista","")))</f>
        <v/>
      </c>
      <c r="J63" s="18" t="n">
        <f aca="false">IF(OR(F63="",MACD_EMA!F63=""),"",F63-MACD_EMA!F63)</f>
        <v>-1.81727008629844</v>
      </c>
    </row>
    <row r="64" customFormat="false" ht="15" hidden="false" customHeight="false" outlineLevel="0" collapsed="false">
      <c r="A64" s="11" t="n">
        <f aca="false">ROW()-8</f>
        <v>56</v>
      </c>
      <c r="B64" s="14" t="n">
        <f aca="false">Datos!A57</f>
        <v>45940</v>
      </c>
      <c r="C64" s="15" t="n">
        <f aca="false">Datos!B57</f>
        <v>232.23</v>
      </c>
      <c r="D64" s="16" t="n">
        <f aca="false">IF(A64&lt;N_rap,"",AVERAGE(INDEX($C$9:$C$112,A64-N_rap+1):C64))</f>
        <v>219.4575</v>
      </c>
      <c r="E64" s="16" t="n">
        <f aca="false">IF(A64&lt;N_len,"",AVERAGE(INDEX($C$9:$C$112,A64-N_len+1):C64))</f>
        <v>210.813076923077</v>
      </c>
      <c r="F64" s="16" t="n">
        <f aca="false">IF(E64="","",D64-E64)</f>
        <v>8.64442307692303</v>
      </c>
      <c r="G64" s="16" t="n">
        <f aca="false">IF(A64&lt;N_len+N_sen-1,"",AVERAGE(INDEX($F$9:$F$112,A64-N_sen+1):F64))</f>
        <v>11.4117521367521</v>
      </c>
      <c r="H64" s="16" t="n">
        <f aca="false">IF(G64="","",F64-G64)</f>
        <v>-2.76732905982909</v>
      </c>
      <c r="I64" s="11" t="str">
        <f aca="false">IF(OR(H64="",H63=""),"",IF(AND(H63&lt;=0,H64&gt;0),"Cruce alcista",IF(AND(H63&gt;=0,H64&lt;0),"Cruce bajista","")))</f>
        <v/>
      </c>
      <c r="J64" s="18" t="n">
        <f aca="false">IF(OR(F64="",MACD_EMA!F64=""),"",F64-MACD_EMA!F64)</f>
        <v>-1.94636482946686</v>
      </c>
    </row>
    <row r="65" customFormat="false" ht="15" hidden="false" customHeight="false" outlineLevel="0" collapsed="false">
      <c r="A65" s="11" t="n">
        <f aca="false">ROW()-8</f>
        <v>57</v>
      </c>
      <c r="B65" s="14" t="n">
        <f aca="false">Datos!A58</f>
        <v>45947</v>
      </c>
      <c r="C65" s="15" t="n">
        <f aca="false">Datos!B58</f>
        <v>229.88</v>
      </c>
      <c r="D65" s="16" t="n">
        <f aca="false">IF(A65&lt;N_rap,"",AVERAGE(INDEX($C$9:$C$112,A65-N_rap+1):C65))</f>
        <v>221.391666666667</v>
      </c>
      <c r="E65" s="16" t="n">
        <f aca="false">IF(A65&lt;N_len,"",AVERAGE(INDEX($C$9:$C$112,A65-N_len+1):C65))</f>
        <v>212.480769230769</v>
      </c>
      <c r="F65" s="16" t="n">
        <f aca="false">IF(E65="","",D65-E65)</f>
        <v>8.91089743589743</v>
      </c>
      <c r="G65" s="16" t="n">
        <f aca="false">IF(A65&lt;N_len+N_sen-1,"",AVERAGE(INDEX($F$9:$F$112,A65-N_sen+1):F65))</f>
        <v>10.7550071225071</v>
      </c>
      <c r="H65" s="16" t="n">
        <f aca="false">IF(G65="","",F65-G65)</f>
        <v>-1.84410968660969</v>
      </c>
      <c r="I65" s="11" t="str">
        <f aca="false">IF(OR(H65="",H64=""),"",IF(AND(H64&lt;=0,H65&gt;0),"Cruce alcista",IF(AND(H64&gt;=0,H65&lt;0),"Cruce bajista","")))</f>
        <v/>
      </c>
      <c r="J65" s="18" t="n">
        <f aca="false">IF(OR(F65="",MACD_EMA!F65=""),"",F65-MACD_EMA!F65)</f>
        <v>-1.65694253471077</v>
      </c>
    </row>
    <row r="66" customFormat="false" ht="15" hidden="false" customHeight="false" outlineLevel="0" collapsed="false">
      <c r="A66" s="11" t="n">
        <f aca="false">ROW()-8</f>
        <v>58</v>
      </c>
      <c r="B66" s="14" t="n">
        <f aca="false">Datos!A59</f>
        <v>45954</v>
      </c>
      <c r="C66" s="15" t="n">
        <f aca="false">Datos!B59</f>
        <v>229.64</v>
      </c>
      <c r="D66" s="16" t="n">
        <f aca="false">IF(A66&lt;N_rap,"",AVERAGE(INDEX($C$9:$C$112,A66-N_rap+1):C66))</f>
        <v>223.15</v>
      </c>
      <c r="E66" s="16" t="n">
        <f aca="false">IF(A66&lt;N_len,"",AVERAGE(INDEX($C$9:$C$112,A66-N_len+1):C66))</f>
        <v>213.813846153846</v>
      </c>
      <c r="F66" s="16" t="n">
        <f aca="false">IF(E66="","",D66-E66)</f>
        <v>9.33615384615385</v>
      </c>
      <c r="G66" s="16" t="n">
        <f aca="false">IF(A66&lt;N_len+N_sen-1,"",AVERAGE(INDEX($F$9:$F$112,A66-N_sen+1):F66))</f>
        <v>10.2798290598291</v>
      </c>
      <c r="H66" s="16" t="n">
        <f aca="false">IF(G66="","",F66-G66)</f>
        <v>-0.943675213675201</v>
      </c>
      <c r="I66" s="11" t="str">
        <f aca="false">IF(OR(H66="",H65=""),"",IF(AND(H65&lt;=0,H66&gt;0),"Cruce alcista",IF(AND(H65&gt;=0,H66&lt;0),"Cruce bajista","")))</f>
        <v/>
      </c>
      <c r="J66" s="18" t="n">
        <f aca="false">IF(OR(F66="",MACD_EMA!F66=""),"",F66-MACD_EMA!F66)</f>
        <v>-1.07413044860706</v>
      </c>
    </row>
    <row r="67" customFormat="false" ht="15" hidden="false" customHeight="false" outlineLevel="0" collapsed="false">
      <c r="A67" s="11" t="n">
        <f aca="false">ROW()-8</f>
        <v>59</v>
      </c>
      <c r="B67" s="14" t="n">
        <f aca="false">Datos!A60</f>
        <v>45961</v>
      </c>
      <c r="C67" s="15" t="n">
        <f aca="false">Datos!B60</f>
        <v>234.24</v>
      </c>
      <c r="D67" s="16" t="n">
        <f aca="false">IF(A67&lt;N_rap,"",AVERAGE(INDEX($C$9:$C$112,A67-N_rap+1):C67))</f>
        <v>225.003333333333</v>
      </c>
      <c r="E67" s="16" t="n">
        <f aca="false">IF(A67&lt;N_len,"",AVERAGE(INDEX($C$9:$C$112,A67-N_len+1):C67))</f>
        <v>215.362307692308</v>
      </c>
      <c r="F67" s="16" t="n">
        <f aca="false">IF(E67="","",D67-E67)</f>
        <v>9.64102564102564</v>
      </c>
      <c r="G67" s="16" t="n">
        <f aca="false">IF(A67&lt;N_len+N_sen-1,"",AVERAGE(INDEX($F$9:$F$112,A67-N_sen+1):F67))</f>
        <v>9.88321225071224</v>
      </c>
      <c r="H67" s="16" t="n">
        <f aca="false">IF(G67="","",F67-G67)</f>
        <v>-0.242186609686605</v>
      </c>
      <c r="I67" s="11" t="str">
        <f aca="false">IF(OR(H67="",H66=""),"",IF(AND(H66&lt;=0,H67&gt;0),"Cruce alcista",IF(AND(H66&gt;=0,H67&lt;0),"Cruce bajista","")))</f>
        <v/>
      </c>
      <c r="J67" s="18" t="n">
        <f aca="false">IF(OR(F67="",MACD_EMA!F67=""),"",F67-MACD_EMA!F67)</f>
        <v>-0.8941334456525</v>
      </c>
    </row>
    <row r="68" customFormat="false" ht="15" hidden="false" customHeight="false" outlineLevel="0" collapsed="false">
      <c r="A68" s="11" t="n">
        <f aca="false">ROW()-8</f>
        <v>60</v>
      </c>
      <c r="B68" s="14" t="n">
        <f aca="false">Datos!A61</f>
        <v>45968</v>
      </c>
      <c r="C68" s="15" t="n">
        <f aca="false">Datos!B61</f>
        <v>228.93</v>
      </c>
      <c r="D68" s="16" t="n">
        <f aca="false">IF(A68&lt;N_rap,"",AVERAGE(INDEX($C$9:$C$112,A68-N_rap+1):C68))</f>
        <v>226.415833333333</v>
      </c>
      <c r="E68" s="16" t="n">
        <f aca="false">IF(A68&lt;N_len,"",AVERAGE(INDEX($C$9:$C$112,A68-N_len+1):C68))</f>
        <v>216.631923076923</v>
      </c>
      <c r="F68" s="16" t="n">
        <f aca="false">IF(E68="","",D68-E68)</f>
        <v>9.78391025641022</v>
      </c>
      <c r="G68" s="16" t="n">
        <f aca="false">IF(A68&lt;N_len+N_sen-1,"",AVERAGE(INDEX($F$9:$F$112,A68-N_sen+1):F68))</f>
        <v>9.61186609686608</v>
      </c>
      <c r="H68" s="16" t="n">
        <f aca="false">IF(G68="","",F68-G68)</f>
        <v>0.172044159544141</v>
      </c>
      <c r="I68" s="11" t="str">
        <f aca="false">IF(OR(H68="",H67=""),"",IF(AND(H67&lt;=0,H68&gt;0),"Cruce alcista",IF(AND(H67&gt;=0,H68&lt;0),"Cruce bajista","")))</f>
        <v>Cruce alcista</v>
      </c>
      <c r="J68" s="18" t="n">
        <f aca="false">IF(OR(F68="",MACD_EMA!F68=""),"",F68-MACD_EMA!F68)</f>
        <v>-0.305436669101312</v>
      </c>
    </row>
    <row r="69" customFormat="false" ht="15" hidden="false" customHeight="false" outlineLevel="0" collapsed="false">
      <c r="A69" s="11" t="n">
        <f aca="false">ROW()-8</f>
        <v>61</v>
      </c>
      <c r="B69" s="14" t="n">
        <f aca="false">Datos!A62</f>
        <v>45975</v>
      </c>
      <c r="C69" s="15" t="n">
        <f aca="false">Datos!B62</f>
        <v>231.98</v>
      </c>
      <c r="D69" s="16" t="n">
        <f aca="false">IF(A69&lt;N_rap,"",AVERAGE(INDEX($C$9:$C$112,A69-N_rap+1):C69))</f>
        <v>227.2475</v>
      </c>
      <c r="E69" s="16" t="n">
        <f aca="false">IF(A69&lt;N_len,"",AVERAGE(INDEX($C$9:$C$112,A69-N_len+1):C69))</f>
        <v>217.900769230769</v>
      </c>
      <c r="F69" s="16" t="n">
        <f aca="false">IF(E69="","",D69-E69)</f>
        <v>9.34673076923073</v>
      </c>
      <c r="G69" s="16" t="n">
        <f aca="false">IF(A69&lt;N_len+N_sen-1,"",AVERAGE(INDEX($F$9:$F$112,A69-N_sen+1):F69))</f>
        <v>9.40415954415953</v>
      </c>
      <c r="H69" s="16" t="n">
        <f aca="false">IF(G69="","",F69-G69)</f>
        <v>-0.0574287749287965</v>
      </c>
      <c r="I69" s="11" t="str">
        <f aca="false">IF(OR(H69="",H68=""),"",IF(AND(H68&lt;=0,H69&gt;0),"Cruce alcista",IF(AND(H68&gt;=0,H69&lt;0),"Cruce bajista","")))</f>
        <v>Cruce bajista</v>
      </c>
      <c r="J69" s="18" t="n">
        <f aca="false">IF(OR(F69="",MACD_EMA!F69=""),"",F69-MACD_EMA!F69)</f>
        <v>-0.521659654791165</v>
      </c>
    </row>
    <row r="70" customFormat="false" ht="15" hidden="false" customHeight="false" outlineLevel="0" collapsed="false">
      <c r="A70" s="11" t="n">
        <f aca="false">ROW()-8</f>
        <v>62</v>
      </c>
      <c r="B70" s="14" t="n">
        <f aca="false">Datos!A63</f>
        <v>45982</v>
      </c>
      <c r="C70" s="15" t="n">
        <f aca="false">Datos!B63</f>
        <v>219.67</v>
      </c>
      <c r="D70" s="16" t="n">
        <f aca="false">IF(A70&lt;N_rap,"",AVERAGE(INDEX($C$9:$C$112,A70-N_rap+1):C70))</f>
        <v>226.616666666667</v>
      </c>
      <c r="E70" s="16" t="n">
        <f aca="false">IF(A70&lt;N_len,"",AVERAGE(INDEX($C$9:$C$112,A70-N_len+1):C70))</f>
        <v>218.621153846154</v>
      </c>
      <c r="F70" s="16" t="n">
        <f aca="false">IF(E70="","",D70-E70)</f>
        <v>7.99551282051283</v>
      </c>
      <c r="G70" s="16" t="n">
        <f aca="false">IF(A70&lt;N_len+N_sen-1,"",AVERAGE(INDEX($F$9:$F$112,A70-N_sen+1):F70))</f>
        <v>9.09435185185184</v>
      </c>
      <c r="H70" s="16" t="n">
        <f aca="false">IF(G70="","",F70-G70)</f>
        <v>-1.09883903133901</v>
      </c>
      <c r="I70" s="11" t="str">
        <f aca="false">IF(OR(H70="",H69=""),"",IF(AND(H69&lt;=0,H70&gt;0),"Cruce alcista",IF(AND(H69&gt;=0,H70&lt;0),"Cruce bajista","")))</f>
        <v/>
      </c>
      <c r="J70" s="18" t="n">
        <f aca="false">IF(OR(F70="",MACD_EMA!F70=""),"",F70-MACD_EMA!F70)</f>
        <v>-0.605308943663687</v>
      </c>
    </row>
    <row r="71" customFormat="false" ht="15" hidden="false" customHeight="false" outlineLevel="0" collapsed="false">
      <c r="A71" s="11" t="n">
        <f aca="false">ROW()-8</f>
        <v>63</v>
      </c>
      <c r="B71" s="14" t="n">
        <f aca="false">Datos!A64</f>
        <v>45989</v>
      </c>
      <c r="C71" s="15" t="n">
        <f aca="false">Datos!B64</f>
        <v>227.29</v>
      </c>
      <c r="D71" s="16" t="n">
        <f aca="false">IF(A71&lt;N_rap,"",AVERAGE(INDEX($C$9:$C$112,A71-N_rap+1):C71))</f>
        <v>227.2025</v>
      </c>
      <c r="E71" s="16" t="n">
        <f aca="false">IF(A71&lt;N_len,"",AVERAGE(INDEX($C$9:$C$112,A71-N_len+1):C71))</f>
        <v>219.355384615385</v>
      </c>
      <c r="F71" s="16" t="n">
        <f aca="false">IF(E71="","",D71-E71)</f>
        <v>7.84711538461539</v>
      </c>
      <c r="G71" s="16" t="n">
        <f aca="false">IF(A71&lt;N_len+N_sen-1,"",AVERAGE(INDEX($F$9:$F$112,A71-N_sen+1):F71))</f>
        <v>8.87947293447292</v>
      </c>
      <c r="H71" s="16" t="n">
        <f aca="false">IF(G71="","",F71-G71)</f>
        <v>-1.03235754985753</v>
      </c>
      <c r="I71" s="11" t="str">
        <f aca="false">IF(OR(H71="",H70=""),"",IF(AND(H70&lt;=0,H71&gt;0),"Cruce alcista",IF(AND(H70&gt;=0,H71&lt;0),"Cruce bajista","")))</f>
        <v/>
      </c>
      <c r="J71" s="18" t="n">
        <f aca="false">IF(OR(F71="",MACD_EMA!F71=""),"",F71-MACD_EMA!F71)</f>
        <v>-0.270445215703035</v>
      </c>
    </row>
    <row r="72" customFormat="false" ht="15" hidden="false" customHeight="false" outlineLevel="0" collapsed="false">
      <c r="A72" s="11" t="n">
        <f aca="false">ROW()-8</f>
        <v>64</v>
      </c>
      <c r="B72" s="14" t="n">
        <f aca="false">Datos!A65</f>
        <v>45996</v>
      </c>
      <c r="C72" s="15" t="n">
        <f aca="false">Datos!B65</f>
        <v>229.88</v>
      </c>
      <c r="D72" s="16" t="n">
        <f aca="false">IF(A72&lt;N_rap,"",AVERAGE(INDEX($C$9:$C$112,A72-N_rap+1):C72))</f>
        <v>228.166666666667</v>
      </c>
      <c r="E72" s="16" t="n">
        <f aca="false">IF(A72&lt;N_len,"",AVERAGE(INDEX($C$9:$C$112,A72-N_len+1):C72))</f>
        <v>220.417692307692</v>
      </c>
      <c r="F72" s="16" t="n">
        <f aca="false">IF(E72="","",D72-E72)</f>
        <v>7.74897435897435</v>
      </c>
      <c r="G72" s="16" t="n">
        <f aca="false">IF(A72&lt;N_len+N_sen-1,"",AVERAGE(INDEX($F$9:$F$112,A72-N_sen+1):F72))</f>
        <v>8.80608262108261</v>
      </c>
      <c r="H72" s="16" t="n">
        <f aca="false">IF(G72="","",F72-G72)</f>
        <v>-1.05710826210826</v>
      </c>
      <c r="I72" s="11" t="str">
        <f aca="false">IF(OR(H72="",H71=""),"",IF(AND(H71&lt;=0,H72&gt;0),"Cruce alcista",IF(AND(H71&gt;=0,H72&lt;0),"Cruce bajista","")))</f>
        <v/>
      </c>
      <c r="J72" s="18" t="n">
        <f aca="false">IF(OR(F72="",MACD_EMA!F72=""),"",F72-MACD_EMA!F72)</f>
        <v>-0.104064695867606</v>
      </c>
    </row>
    <row r="73" customFormat="false" ht="15" hidden="false" customHeight="false" outlineLevel="0" collapsed="false">
      <c r="A73" s="11" t="n">
        <f aca="false">ROW()-8</f>
        <v>65</v>
      </c>
      <c r="B73" s="14" t="n">
        <f aca="false">Datos!A66</f>
        <v>46003</v>
      </c>
      <c r="C73" s="15" t="n">
        <f aca="false">Datos!B66</f>
        <v>238.14</v>
      </c>
      <c r="D73" s="16" t="n">
        <f aca="false">IF(A73&lt;N_rap,"",AVERAGE(INDEX($C$9:$C$112,A73-N_rap+1):C73))</f>
        <v>229.004166666667</v>
      </c>
      <c r="E73" s="16" t="n">
        <f aca="false">IF(A73&lt;N_len,"",AVERAGE(INDEX($C$9:$C$112,A73-N_len+1):C73))</f>
        <v>221.615769230769</v>
      </c>
      <c r="F73" s="16" t="n">
        <f aca="false">IF(E73="","",D73-E73)</f>
        <v>7.38839743589745</v>
      </c>
      <c r="G73" s="16" t="n">
        <f aca="false">IF(A73&lt;N_len+N_sen-1,"",AVERAGE(INDEX($F$9:$F$112,A73-N_sen+1):F73))</f>
        <v>8.66652421652421</v>
      </c>
      <c r="H73" s="16" t="n">
        <f aca="false">IF(G73="","",F73-G73)</f>
        <v>-1.27812678062676</v>
      </c>
      <c r="I73" s="11" t="str">
        <f aca="false">IF(OR(H73="",H72=""),"",IF(AND(H72&lt;=0,H73&gt;0),"Cruce alcista",IF(AND(H72&gt;=0,H73&lt;0),"Cruce bajista","")))</f>
        <v/>
      </c>
      <c r="J73" s="18" t="n">
        <f aca="false">IF(OR(F73="",MACD_EMA!F73=""),"",F73-MACD_EMA!F73)</f>
        <v>-0.826819450211161</v>
      </c>
    </row>
    <row r="74" customFormat="false" ht="15" hidden="false" customHeight="false" outlineLevel="0" collapsed="false">
      <c r="A74" s="11" t="n">
        <f aca="false">ROW()-8</f>
        <v>66</v>
      </c>
      <c r="B74" s="14" t="n">
        <f aca="false">Datos!A67</f>
        <v>46010</v>
      </c>
      <c r="C74" s="15" t="n">
        <f aca="false">Datos!B67</f>
        <v>235.55</v>
      </c>
      <c r="D74" s="16" t="n">
        <f aca="false">IF(A74&lt;N_rap,"",AVERAGE(INDEX($C$9:$C$112,A74-N_rap+1):C74))</f>
        <v>229.7925</v>
      </c>
      <c r="E74" s="16" t="n">
        <f aca="false">IF(A74&lt;N_len,"",AVERAGE(INDEX($C$9:$C$112,A74-N_len+1):C74))</f>
        <v>222.641538461538</v>
      </c>
      <c r="F74" s="16" t="n">
        <f aca="false">IF(E74="","",D74-E74)</f>
        <v>7.15096153846153</v>
      </c>
      <c r="G74" s="16" t="n">
        <f aca="false">IF(A74&lt;N_len+N_sen-1,"",AVERAGE(INDEX($F$9:$F$112,A74-N_sen+1):F74))</f>
        <v>8.47097578347578</v>
      </c>
      <c r="H74" s="16" t="n">
        <f aca="false">IF(G74="","",F74-G74)</f>
        <v>-1.32001424501425</v>
      </c>
      <c r="I74" s="11" t="str">
        <f aca="false">IF(OR(H74="",H73=""),"",IF(AND(H73&lt;=0,H74&gt;0),"Cruce alcista",IF(AND(H73&gt;=0,H74&lt;0),"Cruce bajista","")))</f>
        <v/>
      </c>
      <c r="J74" s="18" t="n">
        <f aca="false">IF(OR(F74="",MACD_EMA!F74=""),"",F74-MACD_EMA!F74)</f>
        <v>-1.04778251589181</v>
      </c>
    </row>
    <row r="75" customFormat="false" ht="15" hidden="false" customHeight="false" outlineLevel="0" collapsed="false">
      <c r="A75" s="11" t="n">
        <f aca="false">ROW()-8</f>
        <v>67</v>
      </c>
      <c r="B75" s="14" t="n">
        <f aca="false">Datos!A68</f>
        <v>46017</v>
      </c>
      <c r="C75" s="15" t="n">
        <f aca="false">Datos!B68</f>
        <v>226.74</v>
      </c>
      <c r="D75" s="16" t="n">
        <f aca="false">IF(A75&lt;N_rap,"",AVERAGE(INDEX($C$9:$C$112,A75-N_rap+1):C75))</f>
        <v>230.3475</v>
      </c>
      <c r="E75" s="16" t="n">
        <f aca="false">IF(A75&lt;N_len,"",AVERAGE(INDEX($C$9:$C$112,A75-N_len+1):C75))</f>
        <v>223.277307692308</v>
      </c>
      <c r="F75" s="16" t="n">
        <f aca="false">IF(E75="","",D75-E75)</f>
        <v>7.07019230769231</v>
      </c>
      <c r="G75" s="16" t="n">
        <f aca="false">IF(A75&lt;N_len+N_sen-1,"",AVERAGE(INDEX($F$9:$F$112,A75-N_sen+1):F75))</f>
        <v>8.21920227920227</v>
      </c>
      <c r="H75" s="16" t="n">
        <f aca="false">IF(G75="","",F75-G75)</f>
        <v>-1.14900997150996</v>
      </c>
      <c r="I75" s="11" t="str">
        <f aca="false">IF(OR(H75="",H74=""),"",IF(AND(H74&lt;=0,H75&gt;0),"Cruce alcista",IF(AND(H74&gt;=0,H75&lt;0),"Cruce bajista","")))</f>
        <v/>
      </c>
      <c r="J75" s="18" t="n">
        <f aca="false">IF(OR(F75="",MACD_EMA!F75=""),"",F75-MACD_EMA!F75)</f>
        <v>-0.319420678427122</v>
      </c>
    </row>
    <row r="76" customFormat="false" ht="15" hidden="false" customHeight="false" outlineLevel="0" collapsed="false">
      <c r="A76" s="11" t="n">
        <f aca="false">ROW()-8</f>
        <v>68</v>
      </c>
      <c r="B76" s="14" t="n">
        <f aca="false">Datos!A69</f>
        <v>46024</v>
      </c>
      <c r="C76" s="15" t="n">
        <f aca="false">Datos!B69</f>
        <v>224.69</v>
      </c>
      <c r="D76" s="16" t="n">
        <f aca="false">IF(A76&lt;N_rap,"",AVERAGE(INDEX($C$9:$C$112,A76-N_rap+1):C76))</f>
        <v>229.719166666667</v>
      </c>
      <c r="E76" s="16" t="n">
        <f aca="false">IF(A76&lt;N_len,"",AVERAGE(INDEX($C$9:$C$112,A76-N_len+1):C76))</f>
        <v>223.62</v>
      </c>
      <c r="F76" s="16" t="n">
        <f aca="false">IF(E76="","",D76-E76)</f>
        <v>6.09916666666666</v>
      </c>
      <c r="G76" s="16" t="n">
        <f aca="false">IF(A76&lt;N_len+N_sen-1,"",AVERAGE(INDEX($F$9:$F$112,A76-N_sen+1):F76))</f>
        <v>7.82566239316239</v>
      </c>
      <c r="H76" s="16" t="n">
        <f aca="false">IF(G76="","",F76-G76)</f>
        <v>-1.72649572649572</v>
      </c>
      <c r="I76" s="11" t="str">
        <f aca="false">IF(OR(H76="",H75=""),"",IF(AND(H75&lt;=0,H76&gt;0),"Cruce alcista",IF(AND(H75&gt;=0,H76&lt;0),"Cruce bajista","")))</f>
        <v/>
      </c>
      <c r="J76" s="18" t="n">
        <f aca="false">IF(OR(F76="",MACD_EMA!F76=""),"",F76-MACD_EMA!F76)</f>
        <v>-0.408766844498899</v>
      </c>
    </row>
    <row r="77" customFormat="false" ht="15" hidden="false" customHeight="false" outlineLevel="0" collapsed="false">
      <c r="A77" s="11" t="n">
        <f aca="false">ROW()-8</f>
        <v>69</v>
      </c>
      <c r="B77" s="14" t="n">
        <f aca="false">Datos!A70</f>
        <v>46031</v>
      </c>
      <c r="C77" s="15" t="n">
        <f aca="false">Datos!B70</f>
        <v>219.58</v>
      </c>
      <c r="D77" s="16" t="n">
        <f aca="false">IF(A77&lt;N_rap,"",AVERAGE(INDEX($C$9:$C$112,A77-N_rap+1):C77))</f>
        <v>228.860833333333</v>
      </c>
      <c r="E77" s="16" t="n">
        <f aca="false">IF(A77&lt;N_len,"",AVERAGE(INDEX($C$9:$C$112,A77-N_len+1):C77))</f>
        <v>223.783076923077</v>
      </c>
      <c r="F77" s="16" t="n">
        <f aca="false">IF(E77="","",D77-E77)</f>
        <v>5.0777564102564</v>
      </c>
      <c r="G77" s="16" t="n">
        <f aca="false">IF(A77&lt;N_len+N_sen-1,"",AVERAGE(INDEX($F$9:$F$112,A77-N_sen+1):F77))</f>
        <v>7.30275641025641</v>
      </c>
      <c r="H77" s="16" t="n">
        <f aca="false">IF(G77="","",F77-G77)</f>
        <v>-2.22500000000001</v>
      </c>
      <c r="I77" s="11" t="str">
        <f aca="false">IF(OR(H77="",H76=""),"",IF(AND(H76&lt;=0,H77&gt;0),"Cruce alcista",IF(AND(H76&gt;=0,H77&lt;0),"Cruce bajista","")))</f>
        <v/>
      </c>
      <c r="J77" s="18" t="n">
        <f aca="false">IF(OR(F77="",MACD_EMA!F77=""),"",F77-MACD_EMA!F77)</f>
        <v>-0.257602771402134</v>
      </c>
    </row>
    <row r="78" customFormat="false" ht="15" hidden="false" customHeight="false" outlineLevel="0" collapsed="false">
      <c r="A78" s="11" t="n">
        <f aca="false">ROW()-8</f>
        <v>70</v>
      </c>
      <c r="B78" s="14" t="n">
        <f aca="false">Datos!A71</f>
        <v>46038</v>
      </c>
      <c r="C78" s="15" t="n">
        <f aca="false">Datos!B71</f>
        <v>218.42</v>
      </c>
      <c r="D78" s="16" t="n">
        <f aca="false">IF(A78&lt;N_rap,"",AVERAGE(INDEX($C$9:$C$112,A78-N_rap+1):C78))</f>
        <v>227.925833333333</v>
      </c>
      <c r="E78" s="16" t="n">
        <f aca="false">IF(A78&lt;N_len,"",AVERAGE(INDEX($C$9:$C$112,A78-N_len+1):C78))</f>
        <v>224.158461538462</v>
      </c>
      <c r="F78" s="16" t="n">
        <f aca="false">IF(E78="","",D78-E78)</f>
        <v>3.76737179487182</v>
      </c>
      <c r="G78" s="16" t="n">
        <f aca="false">IF(A78&lt;N_len+N_sen-1,"",AVERAGE(INDEX($F$9:$F$112,A78-N_sen+1):F78))</f>
        <v>6.68282763532764</v>
      </c>
      <c r="H78" s="16" t="n">
        <f aca="false">IF(G78="","",F78-G78)</f>
        <v>-2.91545584045582</v>
      </c>
      <c r="I78" s="11" t="str">
        <f aca="false">IF(OR(H78="",H77=""),"",IF(AND(H77&lt;=0,H78&gt;0),"Cruce alcista",IF(AND(H77&gt;=0,H78&lt;0),"Cruce bajista","")))</f>
        <v/>
      </c>
      <c r="J78" s="18" t="n">
        <f aca="false">IF(OR(F78="",MACD_EMA!F78=""),"",F78-MACD_EMA!F78)</f>
        <v>-0.495966368720957</v>
      </c>
    </row>
    <row r="79" customFormat="false" ht="15" hidden="false" customHeight="false" outlineLevel="0" collapsed="false">
      <c r="A79" s="11" t="n">
        <f aca="false">ROW()-8</f>
        <v>71</v>
      </c>
      <c r="B79" s="14" t="n">
        <f aca="false">Datos!A72</f>
        <v>46045</v>
      </c>
      <c r="C79" s="15" t="n">
        <f aca="false">Datos!B72</f>
        <v>230.39</v>
      </c>
      <c r="D79" s="16" t="n">
        <f aca="false">IF(A79&lt;N_rap,"",AVERAGE(INDEX($C$9:$C$112,A79-N_rap+1):C79))</f>
        <v>227.605</v>
      </c>
      <c r="E79" s="16" t="n">
        <f aca="false">IF(A79&lt;N_len,"",AVERAGE(INDEX($C$9:$C$112,A79-N_len+1):C79))</f>
        <v>225.070769230769</v>
      </c>
      <c r="F79" s="16" t="n">
        <f aca="false">IF(E79="","",D79-E79)</f>
        <v>2.53423076923076</v>
      </c>
      <c r="G79" s="16" t="n">
        <f aca="false">IF(A79&lt;N_len+N_sen-1,"",AVERAGE(INDEX($F$9:$F$112,A79-N_sen+1):F79))</f>
        <v>6.07601851851852</v>
      </c>
      <c r="H79" s="16" t="n">
        <f aca="false">IF(G79="","",F79-G79)</f>
        <v>-3.54178774928776</v>
      </c>
      <c r="I79" s="11" t="str">
        <f aca="false">IF(OR(H79="",H78=""),"",IF(AND(H78&lt;=0,H79&gt;0),"Cruce alcista",IF(AND(H78&gt;=0,H79&lt;0),"Cruce bajista","")))</f>
        <v/>
      </c>
      <c r="J79" s="18" t="n">
        <f aca="false">IF(OR(F79="",MACD_EMA!F79=""),"",F79-MACD_EMA!F79)</f>
        <v>-1.79549163190489</v>
      </c>
    </row>
    <row r="80" customFormat="false" ht="15" hidden="false" customHeight="false" outlineLevel="0" collapsed="false">
      <c r="A80" s="11" t="n">
        <f aca="false">ROW()-8</f>
        <v>72</v>
      </c>
      <c r="B80" s="14" t="n">
        <f aca="false">Datos!A73</f>
        <v>46052</v>
      </c>
      <c r="C80" s="15" t="n">
        <f aca="false">Datos!B73</f>
        <v>226.42</v>
      </c>
      <c r="D80" s="16" t="n">
        <f aca="false">IF(A80&lt;N_rap,"",AVERAGE(INDEX($C$9:$C$112,A80-N_rap+1):C80))</f>
        <v>227.395833333333</v>
      </c>
      <c r="E80" s="16" t="n">
        <f aca="false">IF(A80&lt;N_len,"",AVERAGE(INDEX($C$9:$C$112,A80-N_len+1):C80))</f>
        <v>225.758461538462</v>
      </c>
      <c r="F80" s="16" t="n">
        <f aca="false">IF(E80="","",D80-E80)</f>
        <v>1.6373717948718</v>
      </c>
      <c r="G80" s="16" t="n">
        <f aca="false">IF(A80&lt;N_len+N_sen-1,"",AVERAGE(INDEX($F$9:$F$112,A80-N_sen+1):F80))</f>
        <v>5.38604700854701</v>
      </c>
      <c r="H80" s="16" t="n">
        <f aca="false">IF(G80="","",F80-G80)</f>
        <v>-3.74867521367521</v>
      </c>
      <c r="I80" s="11" t="str">
        <f aca="false">IF(OR(H80="",H79=""),"",IF(AND(H79&lt;=0,H80&gt;0),"Cruce alcista",IF(AND(H79&gt;=0,H80&lt;0),"Cruce bajista","")))</f>
        <v/>
      </c>
      <c r="J80" s="18" t="n">
        <f aca="false">IF(OR(F80="",MACD_EMA!F80=""),"",F80-MACD_EMA!F80)</f>
        <v>-2.37832432626317</v>
      </c>
    </row>
    <row r="81" customFormat="false" ht="15" hidden="false" customHeight="false" outlineLevel="0" collapsed="false">
      <c r="A81" s="11" t="n">
        <f aca="false">ROW()-8</f>
        <v>73</v>
      </c>
      <c r="B81" s="14" t="n">
        <f aca="false">Datos!A74</f>
        <v>46059</v>
      </c>
      <c r="C81" s="15" t="n">
        <f aca="false">Datos!B74</f>
        <v>226.19</v>
      </c>
      <c r="D81" s="16" t="n">
        <f aca="false">IF(A81&lt;N_rap,"",AVERAGE(INDEX($C$9:$C$112,A81-N_rap+1):C81))</f>
        <v>226.913333333333</v>
      </c>
      <c r="E81" s="16" t="n">
        <f aca="false">IF(A81&lt;N_len,"",AVERAGE(INDEX($C$9:$C$112,A81-N_len+1):C81))</f>
        <v>226.304230769231</v>
      </c>
      <c r="F81" s="16" t="n">
        <f aca="false">IF(E81="","",D81-E81)</f>
        <v>0.609102564102557</v>
      </c>
      <c r="G81" s="16" t="n">
        <f aca="false">IF(A81&lt;N_len+N_sen-1,"",AVERAGE(INDEX($F$9:$F$112,A81-N_sen+1):F81))</f>
        <v>4.59272792022792</v>
      </c>
      <c r="H81" s="16" t="n">
        <f aca="false">IF(G81="","",F81-G81)</f>
        <v>-3.98362535612536</v>
      </c>
      <c r="I81" s="11" t="str">
        <f aca="false">IF(OR(H81="",H80=""),"",IF(AND(H80&lt;=0,H81&gt;0),"Cruce alcista",IF(AND(H80&gt;=0,H81&lt;0),"Cruce bajista","")))</f>
        <v/>
      </c>
      <c r="J81" s="18" t="n">
        <f aca="false">IF(OR(F81="",MACD_EMA!F81=""),"",F81-MACD_EMA!F81)</f>
        <v>-3.09645107416992</v>
      </c>
    </row>
    <row r="82" customFormat="false" ht="15" hidden="false" customHeight="false" outlineLevel="0" collapsed="false">
      <c r="A82" s="11" t="n">
        <f aca="false">ROW()-8</f>
        <v>74</v>
      </c>
      <c r="B82" s="14" t="n">
        <f aca="false">Datos!A75</f>
        <v>46066</v>
      </c>
      <c r="C82" s="15" t="n">
        <f aca="false">Datos!B75</f>
        <v>221.38</v>
      </c>
      <c r="D82" s="16" t="n">
        <f aca="false">IF(A82&lt;N_rap,"",AVERAGE(INDEX($C$9:$C$112,A82-N_rap+1):C82))</f>
        <v>227.055833333333</v>
      </c>
      <c r="E82" s="16" t="n">
        <f aca="false">IF(A82&lt;N_len,"",AVERAGE(INDEX($C$9:$C$112,A82-N_len+1):C82))</f>
        <v>226.665769230769</v>
      </c>
      <c r="F82" s="16" t="n">
        <f aca="false">IF(E82="","",D82-E82)</f>
        <v>0.390064102564139</v>
      </c>
      <c r="G82" s="16" t="n">
        <f aca="false">IF(A82&lt;N_len+N_sen-1,"",AVERAGE(INDEX($F$9:$F$112,A82-N_sen+1):F82))</f>
        <v>3.81513532763533</v>
      </c>
      <c r="H82" s="16" t="n">
        <f aca="false">IF(G82="","",F82-G82)</f>
        <v>-3.42507122507119</v>
      </c>
      <c r="I82" s="11" t="str">
        <f aca="false">IF(OR(H82="",H81=""),"",IF(AND(H81&lt;=0,H82&gt;0),"Cruce alcista",IF(AND(H81&gt;=0,H82&lt;0),"Cruce bajista","")))</f>
        <v/>
      </c>
      <c r="J82" s="18" t="n">
        <f aca="false">IF(OR(F82="",MACD_EMA!F82=""),"",F82-MACD_EMA!F82)</f>
        <v>-2.64656817576449</v>
      </c>
    </row>
    <row r="83" customFormat="false" ht="15" hidden="false" customHeight="false" outlineLevel="0" collapsed="false">
      <c r="A83" s="11" t="n">
        <f aca="false">ROW()-8</f>
        <v>75</v>
      </c>
      <c r="B83" s="14" t="n">
        <f aca="false">Datos!A76</f>
        <v>46073</v>
      </c>
      <c r="C83" s="15" t="n">
        <f aca="false">Datos!B76</f>
        <v>238.67</v>
      </c>
      <c r="D83" s="16" t="n">
        <f aca="false">IF(A83&lt;N_rap,"",AVERAGE(INDEX($C$9:$C$112,A83-N_rap+1):C83))</f>
        <v>228.004166666667</v>
      </c>
      <c r="E83" s="16" t="n">
        <f aca="false">IF(A83&lt;N_len,"",AVERAGE(INDEX($C$9:$C$112,A83-N_len+1):C83))</f>
        <v>227.306923076923</v>
      </c>
      <c r="F83" s="16" t="n">
        <f aca="false">IF(E83="","",D83-E83)</f>
        <v>0.697243589743636</v>
      </c>
      <c r="G83" s="16" t="n">
        <f aca="false">IF(A83&lt;N_len+N_sen-1,"",AVERAGE(INDEX($F$9:$F$112,A83-N_sen+1):F83))</f>
        <v>3.09805555555556</v>
      </c>
      <c r="H83" s="16" t="n">
        <f aca="false">IF(G83="","",F83-G83)</f>
        <v>-2.40081196581193</v>
      </c>
      <c r="I83" s="11" t="str">
        <f aca="false">IF(OR(H83="",H82=""),"",IF(AND(H82&lt;=0,H83&gt;0),"Cruce alcista",IF(AND(H82&gt;=0,H83&lt;0),"Cruce bajista","")))</f>
        <v/>
      </c>
      <c r="J83" s="18" t="n">
        <f aca="false">IF(OR(F83="",MACD_EMA!F83=""),"",F83-MACD_EMA!F83)</f>
        <v>-3.15995876522922</v>
      </c>
    </row>
    <row r="84" customFormat="false" ht="15" hidden="false" customHeight="false" outlineLevel="0" collapsed="false">
      <c r="A84" s="11" t="n">
        <f aca="false">ROW()-8</f>
        <v>76</v>
      </c>
      <c r="B84" s="14" t="n">
        <f aca="false">Datos!A77</f>
        <v>46080</v>
      </c>
      <c r="C84" s="15" t="n">
        <f aca="false">Datos!B77</f>
        <v>244.47</v>
      </c>
      <c r="D84" s="16" t="n">
        <f aca="false">IF(A84&lt;N_rap,"",AVERAGE(INDEX($C$9:$C$112,A84-N_rap+1):C84))</f>
        <v>229.22</v>
      </c>
      <c r="E84" s="16" t="n">
        <f aca="false">IF(A84&lt;N_len,"",AVERAGE(INDEX($C$9:$C$112,A84-N_len+1):C84))</f>
        <v>227.969615384615</v>
      </c>
      <c r="F84" s="16" t="n">
        <f aca="false">IF(E84="","",D84-E84)</f>
        <v>1.2503846153846</v>
      </c>
      <c r="G84" s="16" t="n">
        <f aca="false">IF(A84&lt;N_len+N_sen-1,"",AVERAGE(INDEX($F$9:$F$112,A84-N_sen+1):F84))</f>
        <v>2.45141025641026</v>
      </c>
      <c r="H84" s="16" t="n">
        <f aca="false">IF(G84="","",F84-G84)</f>
        <v>-1.20102564102566</v>
      </c>
      <c r="I84" s="11" t="str">
        <f aca="false">IF(OR(H84="",H83=""),"",IF(AND(H83&lt;=0,H84&gt;0),"Cruce alcista",IF(AND(H83&gt;=0,H84&lt;0),"Cruce bajista","")))</f>
        <v/>
      </c>
      <c r="J84" s="18" t="n">
        <f aca="false">IF(OR(F84="",MACD_EMA!F84=""),"",F84-MACD_EMA!F84)</f>
        <v>-3.668435863968</v>
      </c>
    </row>
    <row r="85" customFormat="false" ht="15" hidden="false" customHeight="false" outlineLevel="0" collapsed="false">
      <c r="A85" s="11" t="n">
        <f aca="false">ROW()-8</f>
        <v>77</v>
      </c>
      <c r="B85" s="14" t="n">
        <f aca="false">Datos!A78</f>
        <v>46087</v>
      </c>
      <c r="C85" s="15" t="n">
        <f aca="false">Datos!B78</f>
        <v>241.48</v>
      </c>
      <c r="D85" s="16" t="n">
        <f aca="false">IF(A85&lt;N_rap,"",AVERAGE(INDEX($C$9:$C$112,A85-N_rap+1):C85))</f>
        <v>229.498333333333</v>
      </c>
      <c r="E85" s="16" t="n">
        <f aca="false">IF(A85&lt;N_len,"",AVERAGE(INDEX($C$9:$C$112,A85-N_len+1):C85))</f>
        <v>228.785769230769</v>
      </c>
      <c r="F85" s="16" t="n">
        <f aca="false">IF(E85="","",D85-E85)</f>
        <v>0.712564102564102</v>
      </c>
      <c r="G85" s="16" t="n">
        <f aca="false">IF(A85&lt;N_len+N_sen-1,"",AVERAGE(INDEX($F$9:$F$112,A85-N_sen+1):F85))</f>
        <v>1.85289886039887</v>
      </c>
      <c r="H85" s="16" t="n">
        <f aca="false">IF(G85="","",F85-G85)</f>
        <v>-1.14033475783477</v>
      </c>
      <c r="I85" s="11" t="str">
        <f aca="false">IF(OR(H85="",H84=""),"",IF(AND(H84&lt;=0,H85&gt;0),"Cruce alcista",IF(AND(H84&gt;=0,H85&lt;0),"Cruce bajista","")))</f>
        <v/>
      </c>
      <c r="J85" s="18" t="n">
        <f aca="false">IF(OR(F85="",MACD_EMA!F85=""),"",F85-MACD_EMA!F85)</f>
        <v>-4.74343501578281</v>
      </c>
    </row>
    <row r="86" customFormat="false" ht="15" hidden="false" customHeight="false" outlineLevel="0" collapsed="false">
      <c r="A86" s="11" t="n">
        <f aca="false">ROW()-8</f>
        <v>78</v>
      </c>
      <c r="B86" s="14" t="n">
        <f aca="false">Datos!A79</f>
        <v>46094</v>
      </c>
      <c r="C86" s="15" t="n">
        <f aca="false">Datos!B79</f>
        <v>238.58</v>
      </c>
      <c r="D86" s="16" t="n">
        <f aca="false">IF(A86&lt;N_rap,"",AVERAGE(INDEX($C$9:$C$112,A86-N_rap+1):C86))</f>
        <v>229.750833333333</v>
      </c>
      <c r="E86" s="16" t="n">
        <f aca="false">IF(A86&lt;N_len,"",AVERAGE(INDEX($C$9:$C$112,A86-N_len+1):C86))</f>
        <v>229.565384615385</v>
      </c>
      <c r="F86" s="16" t="n">
        <f aca="false">IF(E86="","",D86-E86)</f>
        <v>0.185448717948702</v>
      </c>
      <c r="G86" s="16" t="n">
        <f aca="false">IF(A86&lt;N_len+N_sen-1,"",AVERAGE(INDEX($F$9:$F$112,A86-N_sen+1):F86))</f>
        <v>1.30930911680912</v>
      </c>
      <c r="H86" s="16" t="n">
        <f aca="false">IF(G86="","",F86-G86)</f>
        <v>-1.12386039886042</v>
      </c>
      <c r="I86" s="11" t="str">
        <f aca="false">IF(OR(H86="",H85=""),"",IF(AND(H85&lt;=0,H86&gt;0),"Cruce alcista",IF(AND(H85&gt;=0,H86&lt;0),"Cruce bajista","")))</f>
        <v/>
      </c>
      <c r="J86" s="18" t="n">
        <f aca="false">IF(OR(F86="",MACD_EMA!F86=""),"",F86-MACD_EMA!F86)</f>
        <v>-5.39790119598243</v>
      </c>
    </row>
    <row r="87" customFormat="false" ht="15" hidden="false" customHeight="false" outlineLevel="0" collapsed="false">
      <c r="A87" s="11" t="n">
        <f aca="false">ROW()-8</f>
        <v>79</v>
      </c>
      <c r="B87" s="14" t="n">
        <f aca="false">Datos!A80</f>
        <v>46101</v>
      </c>
      <c r="C87" s="15" t="n">
        <f aca="false">Datos!B80</f>
        <v>238.2</v>
      </c>
      <c r="D87" s="16" t="n">
        <f aca="false">IF(A87&lt;N_rap,"",AVERAGE(INDEX($C$9:$C$112,A87-N_rap+1):C87))</f>
        <v>230.705833333333</v>
      </c>
      <c r="E87" s="16" t="n">
        <f aca="false">IF(A87&lt;N_len,"",AVERAGE(INDEX($C$9:$C$112,A87-N_len+1):C87))</f>
        <v>229.954230769231</v>
      </c>
      <c r="F87" s="16" t="n">
        <f aca="false">IF(E87="","",D87-E87)</f>
        <v>0.751602564102569</v>
      </c>
      <c r="G87" s="16" t="n">
        <f aca="false">IF(A87&lt;N_len+N_sen-1,"",AVERAGE(INDEX($F$9:$F$112,A87-N_sen+1):F87))</f>
        <v>0.974223646723652</v>
      </c>
      <c r="H87" s="16" t="n">
        <f aca="false">IF(G87="","",F87-G87)</f>
        <v>-0.222621082621083</v>
      </c>
      <c r="I87" s="11" t="str">
        <f aca="false">IF(OR(H87="",H86=""),"",IF(AND(H86&lt;=0,H87&gt;0),"Cruce alcista",IF(AND(H86&gt;=0,H87&lt;0),"Cruce bajista","")))</f>
        <v/>
      </c>
      <c r="J87" s="18" t="n">
        <f aca="false">IF(OR(F87="",MACD_EMA!F87=""),"",F87-MACD_EMA!F87)</f>
        <v>-4.83758230461467</v>
      </c>
    </row>
    <row r="88" customFormat="false" ht="15" hidden="false" customHeight="false" outlineLevel="0" collapsed="false">
      <c r="A88" s="11" t="n">
        <f aca="false">ROW()-8</f>
        <v>80</v>
      </c>
      <c r="B88" s="14" t="n">
        <f aca="false">Datos!A81</f>
        <v>46108</v>
      </c>
      <c r="C88" s="15" t="n">
        <f aca="false">Datos!B81</f>
        <v>232.42</v>
      </c>
      <c r="D88" s="16" t="n">
        <f aca="false">IF(A88&lt;N_rap,"",AVERAGE(INDEX($C$9:$C$112,A88-N_rap+1):C88))</f>
        <v>231.35</v>
      </c>
      <c r="E88" s="16" t="n">
        <f aca="false">IF(A88&lt;N_len,"",AVERAGE(INDEX($C$9:$C$112,A88-N_len+1):C88))</f>
        <v>230.197692307692</v>
      </c>
      <c r="F88" s="16" t="n">
        <f aca="false">IF(E88="","",D88-E88)</f>
        <v>1.15230769230769</v>
      </c>
      <c r="G88" s="16" t="n">
        <f aca="false">IF(A88&lt;N_len+N_sen-1,"",AVERAGE(INDEX($F$9:$F$112,A88-N_sen+1):F88))</f>
        <v>0.820676638176644</v>
      </c>
      <c r="H88" s="16" t="n">
        <f aca="false">IF(G88="","",F88-G88)</f>
        <v>0.331631054131044</v>
      </c>
      <c r="I88" s="11" t="str">
        <f aca="false">IF(OR(H88="",H87=""),"",IF(AND(H87&lt;=0,H88&gt;0),"Cruce alcista",IF(AND(H87&gt;=0,H88&lt;0),"Cruce bajista","")))</f>
        <v>Cruce alcista</v>
      </c>
      <c r="J88" s="18" t="n">
        <f aca="false">IF(OR(F88="",MACD_EMA!F88=""),"",F88-MACD_EMA!F88)</f>
        <v>-3.91667168664122</v>
      </c>
    </row>
    <row r="89" customFormat="false" ht="15" hidden="false" customHeight="false" outlineLevel="0" collapsed="false">
      <c r="A89" s="11" t="n">
        <f aca="false">ROW()-8</f>
        <v>81</v>
      </c>
      <c r="B89" s="14" t="n">
        <f aca="false">Datos!A82</f>
        <v>46115</v>
      </c>
      <c r="C89" s="15" t="n">
        <f aca="false">Datos!B82</f>
        <v>241.28</v>
      </c>
      <c r="D89" s="16" t="n">
        <f aca="false">IF(A89&lt;N_rap,"",AVERAGE(INDEX($C$9:$C$112,A89-N_rap+1):C89))</f>
        <v>233.158333333333</v>
      </c>
      <c r="E89" s="16" t="n">
        <f aca="false">IF(A89&lt;N_len,"",AVERAGE(INDEX($C$9:$C$112,A89-N_len+1):C89))</f>
        <v>231.013076923077</v>
      </c>
      <c r="F89" s="16" t="n">
        <f aca="false">IF(E89="","",D89-E89)</f>
        <v>2.14525641025639</v>
      </c>
      <c r="G89" s="16" t="n">
        <f aca="false">IF(A89&lt;N_len+N_sen-1,"",AVERAGE(INDEX($F$9:$F$112,A89-N_sen+1):F89))</f>
        <v>0.877108262108266</v>
      </c>
      <c r="H89" s="16" t="n">
        <f aca="false">IF(G89="","",F89-G89)</f>
        <v>1.26814814814813</v>
      </c>
      <c r="I89" s="11" t="str">
        <f aca="false">IF(OR(H89="",H88=""),"",IF(AND(H88&lt;=0,H89&gt;0),"Cruce alcista",IF(AND(H88&gt;=0,H89&lt;0),"Cruce bajista","")))</f>
        <v/>
      </c>
      <c r="J89" s="18" t="n">
        <f aca="false">IF(OR(F89="",MACD_EMA!F89=""),"",F89-MACD_EMA!F89)</f>
        <v>-3.16516904503985</v>
      </c>
    </row>
    <row r="90" customFormat="false" ht="15" hidden="false" customHeight="false" outlineLevel="0" collapsed="false">
      <c r="A90" s="11" t="n">
        <f aca="false">ROW()-8</f>
        <v>82</v>
      </c>
      <c r="B90" s="14" t="n">
        <f aca="false">Datos!A83</f>
        <v>46122</v>
      </c>
      <c r="C90" s="15" t="n">
        <f aca="false">Datos!B83</f>
        <v>242.81</v>
      </c>
      <c r="D90" s="16" t="n">
        <f aca="false">IF(A90&lt;N_rap,"",AVERAGE(INDEX($C$9:$C$112,A90-N_rap+1):C90))</f>
        <v>235.190833333333</v>
      </c>
      <c r="E90" s="16" t="n">
        <f aca="false">IF(A90&lt;N_len,"",AVERAGE(INDEX($C$9:$C$112,A90-N_len+1):C90))</f>
        <v>231.42</v>
      </c>
      <c r="F90" s="16" t="n">
        <f aca="false">IF(E90="","",D90-E90)</f>
        <v>3.77083333333331</v>
      </c>
      <c r="G90" s="16" t="n">
        <f aca="false">IF(A90&lt;N_len+N_sen-1,"",AVERAGE(INDEX($F$9:$F$112,A90-N_sen+1):F90))</f>
        <v>1.22841168091168</v>
      </c>
      <c r="H90" s="16" t="n">
        <f aca="false">IF(G90="","",F90-G90)</f>
        <v>2.54242165242163</v>
      </c>
      <c r="I90" s="11" t="str">
        <f aca="false">IF(OR(H90="",H89=""),"",IF(AND(H89&lt;=0,H90&gt;0),"Cruce alcista",IF(AND(H89&gt;=0,H90&lt;0),"Cruce bajista","")))</f>
        <v/>
      </c>
      <c r="J90" s="18" t="n">
        <f aca="false">IF(OR(F90="",MACD_EMA!F90=""),"",F90-MACD_EMA!F90)</f>
        <v>-1.79029288884138</v>
      </c>
    </row>
    <row r="91" customFormat="false" ht="15" hidden="false" customHeight="false" outlineLevel="0" collapsed="false">
      <c r="A91" s="11" t="n">
        <f aca="false">ROW()-8</f>
        <v>83</v>
      </c>
      <c r="B91" s="14" t="n">
        <f aca="false">Datos!A84</f>
        <v>46129</v>
      </c>
      <c r="C91" s="15" t="n">
        <f aca="false">Datos!B84</f>
        <v>242.67</v>
      </c>
      <c r="D91" s="16" t="n">
        <f aca="false">IF(A91&lt;N_rap,"",AVERAGE(INDEX($C$9:$C$112,A91-N_rap+1):C91))</f>
        <v>236.214166666667</v>
      </c>
      <c r="E91" s="16" t="n">
        <f aca="false">IF(A91&lt;N_len,"",AVERAGE(INDEX($C$9:$C$112,A91-N_len+1):C91))</f>
        <v>231.911923076923</v>
      </c>
      <c r="F91" s="16" t="n">
        <f aca="false">IF(E91="","",D91-E91)</f>
        <v>4.30224358974357</v>
      </c>
      <c r="G91" s="16" t="n">
        <f aca="false">IF(A91&lt;N_len+N_sen-1,"",AVERAGE(INDEX($F$9:$F$112,A91-N_sen+1):F91))</f>
        <v>1.66309829059829</v>
      </c>
      <c r="H91" s="16" t="n">
        <f aca="false">IF(G91="","",F91-G91)</f>
        <v>2.63914529914528</v>
      </c>
      <c r="I91" s="11" t="str">
        <f aca="false">IF(OR(H91="",H90=""),"",IF(AND(H90&lt;=0,H91&gt;0),"Cruce alcista",IF(AND(H90&gt;=0,H91&lt;0),"Cruce bajista","")))</f>
        <v/>
      </c>
      <c r="J91" s="18" t="n">
        <f aca="false">IF(OR(F91="",MACD_EMA!F91=""),"",F91-MACD_EMA!F91)</f>
        <v>-1.38075786320852</v>
      </c>
    </row>
    <row r="92" customFormat="false" ht="15" hidden="false" customHeight="false" outlineLevel="0" collapsed="false">
      <c r="A92" s="11" t="n">
        <f aca="false">ROW()-8</f>
        <v>84</v>
      </c>
      <c r="B92" s="14" t="n">
        <f aca="false">Datos!A85</f>
        <v>46136</v>
      </c>
      <c r="C92" s="15" t="n">
        <f aca="false">Datos!B85</f>
        <v>232.49</v>
      </c>
      <c r="D92" s="16" t="n">
        <f aca="false">IF(A92&lt;N_rap,"",AVERAGE(INDEX($C$9:$C$112,A92-N_rap+1):C92))</f>
        <v>236.72</v>
      </c>
      <c r="E92" s="16" t="n">
        <f aca="false">IF(A92&lt;N_len,"",AVERAGE(INDEX($C$9:$C$112,A92-N_len+1):C92))</f>
        <v>232.021538461538</v>
      </c>
      <c r="F92" s="16" t="n">
        <f aca="false">IF(E92="","",D92-E92)</f>
        <v>4.69846153846154</v>
      </c>
      <c r="G92" s="16" t="n">
        <f aca="false">IF(A92&lt;N_len+N_sen-1,"",AVERAGE(INDEX($F$9:$F$112,A92-N_sen+1):F92))</f>
        <v>2.10767806267805</v>
      </c>
      <c r="H92" s="16" t="n">
        <f aca="false">IF(G92="","",F92-G92)</f>
        <v>2.59078347578349</v>
      </c>
      <c r="I92" s="11" t="str">
        <f aca="false">IF(OR(H92="",H91=""),"",IF(AND(H91&lt;=0,H92&gt;0),"Cruce alcista",IF(AND(H91&gt;=0,H92&lt;0),"Cruce bajista","")))</f>
        <v/>
      </c>
      <c r="J92" s="18" t="n">
        <f aca="false">IF(OR(F92="",MACD_EMA!F92=""),"",F92-MACD_EMA!F92)</f>
        <v>-0.203182885008999</v>
      </c>
    </row>
    <row r="93" customFormat="false" ht="15" hidden="false" customHeight="false" outlineLevel="0" collapsed="false">
      <c r="A93" s="11" t="n">
        <f aca="false">ROW()-8</f>
        <v>85</v>
      </c>
      <c r="B93" s="14" t="n">
        <f aca="false">Datos!A86</f>
        <v>46143</v>
      </c>
      <c r="C93" s="15" t="n">
        <f aca="false">Datos!B86</f>
        <v>226.97</v>
      </c>
      <c r="D93" s="16" t="n">
        <f aca="false">IF(A93&lt;N_rap,"",AVERAGE(INDEX($C$9:$C$112,A93-N_rap+1):C93))</f>
        <v>236.785</v>
      </c>
      <c r="E93" s="16" t="n">
        <f aca="false">IF(A93&lt;N_len,"",AVERAGE(INDEX($C$9:$C$112,A93-N_len+1):C93))</f>
        <v>231.741923076923</v>
      </c>
      <c r="F93" s="16" t="n">
        <f aca="false">IF(E93="","",D93-E93)</f>
        <v>5.04307692307691</v>
      </c>
      <c r="G93" s="16" t="n">
        <f aca="false">IF(A93&lt;N_len+N_sen-1,"",AVERAGE(INDEX($F$9:$F$112,A93-N_sen+1):F93))</f>
        <v>2.52908831908831</v>
      </c>
      <c r="H93" s="16" t="n">
        <f aca="false">IF(G93="","",F93-G93)</f>
        <v>2.5139886039886</v>
      </c>
      <c r="I93" s="11" t="str">
        <f aca="false">IF(OR(H93="",H92=""),"",IF(AND(H92&lt;=0,H93&gt;0),"Cruce alcista",IF(AND(H92&gt;=0,H93&lt;0),"Cruce bajista","")))</f>
        <v/>
      </c>
      <c r="J93" s="18" t="n">
        <f aca="false">IF(OR(F93="",MACD_EMA!F93=""),"",F93-MACD_EMA!F93)</f>
        <v>1.24980788650464</v>
      </c>
    </row>
    <row r="94" customFormat="false" ht="15" hidden="false" customHeight="false" outlineLevel="0" collapsed="false">
      <c r="A94" s="11" t="n">
        <f aca="false">ROW()-8</f>
        <v>86</v>
      </c>
      <c r="B94" s="14" t="n">
        <f aca="false">Datos!A87</f>
        <v>46150</v>
      </c>
      <c r="C94" s="15" t="n">
        <f aca="false">Datos!B87</f>
        <v>220.67</v>
      </c>
      <c r="D94" s="16" t="n">
        <f aca="false">IF(A94&lt;N_rap,"",AVERAGE(INDEX($C$9:$C$112,A94-N_rap+1):C94))</f>
        <v>236.725833333333</v>
      </c>
      <c r="E94" s="16" t="n">
        <f aca="false">IF(A94&lt;N_len,"",AVERAGE(INDEX($C$9:$C$112,A94-N_len+1):C94))</f>
        <v>231.424230769231</v>
      </c>
      <c r="F94" s="16" t="n">
        <f aca="false">IF(E94="","",D94-E94)</f>
        <v>5.30160256410258</v>
      </c>
      <c r="G94" s="16" t="n">
        <f aca="false">IF(A94&lt;N_len+N_sen-1,"",AVERAGE(INDEX($F$9:$F$112,A94-N_sen+1):F94))</f>
        <v>3.03898148148147</v>
      </c>
      <c r="H94" s="16" t="n">
        <f aca="false">IF(G94="","",F94-G94)</f>
        <v>2.26262108262111</v>
      </c>
      <c r="I94" s="11" t="str">
        <f aca="false">IF(OR(H94="",H93=""),"",IF(AND(H93&lt;=0,H94&gt;0),"Cruce alcista",IF(AND(H93&gt;=0,H94&lt;0),"Cruce bajista","")))</f>
        <v/>
      </c>
      <c r="J94" s="18" t="n">
        <f aca="false">IF(OR(F94="",MACD_EMA!F94=""),"",F94-MACD_EMA!F94)</f>
        <v>2.92251104189879</v>
      </c>
    </row>
    <row r="95" customFormat="false" ht="15" hidden="false" customHeight="false" outlineLevel="0" collapsed="false">
      <c r="A95" s="11" t="n">
        <f aca="false">ROW()-8</f>
        <v>87</v>
      </c>
      <c r="B95" s="14" t="n">
        <f aca="false">Datos!A88</f>
        <v>46157</v>
      </c>
      <c r="C95" s="15" t="n">
        <f aca="false">Datos!B88</f>
        <v>212.34</v>
      </c>
      <c r="D95" s="16" t="n">
        <f aca="false">IF(A95&lt;N_rap,"",AVERAGE(INDEX($C$9:$C$112,A95-N_rap+1):C95))</f>
        <v>234.531666666667</v>
      </c>
      <c r="E95" s="16" t="n">
        <f aca="false">IF(A95&lt;N_len,"",AVERAGE(INDEX($C$9:$C$112,A95-N_len+1):C95))</f>
        <v>230.668846153846</v>
      </c>
      <c r="F95" s="16" t="n">
        <f aca="false">IF(E95="","",D95-E95)</f>
        <v>3.86282051282049</v>
      </c>
      <c r="G95" s="16" t="n">
        <f aca="false">IF(A95&lt;N_len+N_sen-1,"",AVERAGE(INDEX($F$9:$F$112,A95-N_sen+1):F95))</f>
        <v>3.44757834757834</v>
      </c>
      <c r="H95" s="16" t="n">
        <f aca="false">IF(G95="","",F95-G95)</f>
        <v>0.415242165242151</v>
      </c>
      <c r="I95" s="11" t="str">
        <f aca="false">IF(OR(H95="",H94=""),"",IF(AND(H94&lt;=0,H95&gt;0),"Cruce alcista",IF(AND(H94&gt;=0,H95&lt;0),"Cruce bajista","")))</f>
        <v/>
      </c>
      <c r="J95" s="18" t="n">
        <f aca="false">IF(OR(F95="",MACD_EMA!F95=""),"",F95-MACD_EMA!F95)</f>
        <v>3.28331640526096</v>
      </c>
    </row>
    <row r="96" customFormat="false" ht="15" hidden="false" customHeight="false" outlineLevel="0" collapsed="false">
      <c r="A96" s="11" t="n">
        <f aca="false">ROW()-8</f>
        <v>88</v>
      </c>
      <c r="B96" s="14" t="n">
        <f aca="false">Datos!A89</f>
        <v>46164</v>
      </c>
      <c r="C96" s="15" t="n">
        <f aca="false">Datos!B89</f>
        <v>217.64</v>
      </c>
      <c r="D96" s="16" t="n">
        <f aca="false">IF(A96&lt;N_rap,"",AVERAGE(INDEX($C$9:$C$112,A96-N_rap+1):C96))</f>
        <v>232.295833333333</v>
      </c>
      <c r="E96" s="16" t="n">
        <f aca="false">IF(A96&lt;N_len,"",AVERAGE(INDEX($C$9:$C$112,A96-N_len+1):C96))</f>
        <v>230.590769230769</v>
      </c>
      <c r="F96" s="16" t="n">
        <f aca="false">IF(E96="","",D96-E96)</f>
        <v>1.70506410256414</v>
      </c>
      <c r="G96" s="16" t="n">
        <f aca="false">IF(A96&lt;N_len+N_sen-1,"",AVERAGE(INDEX($F$9:$F$112,A96-N_sen+1):F96))</f>
        <v>3.55351851851851</v>
      </c>
      <c r="H96" s="16" t="n">
        <f aca="false">IF(G96="","",F96-G96)</f>
        <v>-1.84845441595438</v>
      </c>
      <c r="I96" s="11" t="str">
        <f aca="false">IF(OR(H96="",H95=""),"",IF(AND(H95&lt;=0,H96&gt;0),"Cruce alcista",IF(AND(H95&gt;=0,H96&lt;0),"Cruce bajista","")))</f>
        <v>Cruce bajista</v>
      </c>
      <c r="J96" s="18" t="n">
        <f aca="false">IF(OR(F96="",MACD_EMA!F96=""),"",F96-MACD_EMA!F96)</f>
        <v>2.11930516724797</v>
      </c>
    </row>
    <row r="97" customFormat="false" ht="15" hidden="false" customHeight="false" outlineLevel="0" collapsed="false">
      <c r="A97" s="11" t="n">
        <f aca="false">ROW()-8</f>
        <v>89</v>
      </c>
      <c r="B97" s="14" t="n">
        <f aca="false">Datos!A90</f>
        <v>46171</v>
      </c>
      <c r="C97" s="15" t="n">
        <f aca="false">Datos!B90</f>
        <v>225.44</v>
      </c>
      <c r="D97" s="16" t="n">
        <f aca="false">IF(A97&lt;N_rap,"",AVERAGE(INDEX($C$9:$C$112,A97-N_rap+1):C97))</f>
        <v>230.959166666667</v>
      </c>
      <c r="E97" s="16" t="n">
        <f aca="false">IF(A97&lt;N_len,"",AVERAGE(INDEX($C$9:$C$112,A97-N_len+1):C97))</f>
        <v>230.519615384615</v>
      </c>
      <c r="F97" s="16" t="n">
        <f aca="false">IF(E97="","",D97-E97)</f>
        <v>0.439551282051241</v>
      </c>
      <c r="G97" s="16" t="n">
        <f aca="false">IF(A97&lt;N_len+N_sen-1,"",AVERAGE(INDEX($F$9:$F$112,A97-N_sen+1):F97))</f>
        <v>3.47432336182335</v>
      </c>
      <c r="H97" s="16" t="n">
        <f aca="false">IF(G97="","",F97-G97)</f>
        <v>-3.03477207977211</v>
      </c>
      <c r="I97" s="11" t="str">
        <f aca="false">IF(OR(H97="",H96=""),"",IF(AND(H96&lt;=0,H97&gt;0),"Cruce alcista",IF(AND(H96&gt;=0,H97&lt;0),"Cruce bajista","")))</f>
        <v/>
      </c>
      <c r="J97" s="18" t="n">
        <f aca="false">IF(OR(F97="",MACD_EMA!F97=""),"",F97-MACD_EMA!F97)</f>
        <v>1.00542470601764</v>
      </c>
    </row>
    <row r="98" customFormat="false" ht="15" hidden="false" customHeight="false" outlineLevel="0" collapsed="false">
      <c r="A98" s="11" t="n">
        <f aca="false">ROW()-8</f>
        <v>90</v>
      </c>
      <c r="B98" s="14" t="n">
        <f aca="false">Datos!A91</f>
        <v>46178</v>
      </c>
      <c r="C98" s="15" t="n">
        <f aca="false">Datos!B91</f>
        <v>232.31</v>
      </c>
      <c r="D98" s="16" t="n">
        <f aca="false">IF(A98&lt;N_rap,"",AVERAGE(INDEX($C$9:$C$112,A98-N_rap+1):C98))</f>
        <v>230.436666666667</v>
      </c>
      <c r="E98" s="16" t="n">
        <f aca="false">IF(A98&lt;N_len,"",AVERAGE(INDEX($C$9:$C$112,A98-N_len+1):C98))</f>
        <v>230.613076923077</v>
      </c>
      <c r="F98" s="16" t="n">
        <f aca="false">IF(E98="","",D98-E98)</f>
        <v>-0.176410256410264</v>
      </c>
      <c r="G98" s="16" t="n">
        <f aca="false">IF(A98&lt;N_len+N_sen-1,"",AVERAGE(INDEX($F$9:$F$112,A98-N_sen+1):F98))</f>
        <v>3.21636039886039</v>
      </c>
      <c r="H98" s="16" t="n">
        <f aca="false">IF(G98="","",F98-G98)</f>
        <v>-3.39277065527066</v>
      </c>
      <c r="I98" s="11" t="str">
        <f aca="false">IF(OR(H98="",H97=""),"",IF(AND(H97&lt;=0,H98&gt;0),"Cruce alcista",IF(AND(H97&gt;=0,H98&lt;0),"Cruce bajista","")))</f>
        <v/>
      </c>
      <c r="J98" s="18" t="n">
        <f aca="false">IF(OR(F98="",MACD_EMA!F98=""),"",F98-MACD_EMA!F98)</f>
        <v>-0.04621943897709</v>
      </c>
    </row>
    <row r="99" customFormat="false" ht="15" hidden="false" customHeight="false" outlineLevel="0" collapsed="false">
      <c r="A99" s="11" t="n">
        <f aca="false">ROW()-8</f>
        <v>91</v>
      </c>
      <c r="B99" s="14" t="n">
        <f aca="false">Datos!A92</f>
        <v>46185</v>
      </c>
      <c r="C99" s="15" t="n">
        <f aca="false">Datos!B92</f>
        <v>225.72</v>
      </c>
      <c r="D99" s="16" t="n">
        <f aca="false">IF(A99&lt;N_rap,"",AVERAGE(INDEX($C$9:$C$112,A99-N_rap+1):C99))</f>
        <v>229.396666666667</v>
      </c>
      <c r="E99" s="16" t="n">
        <f aca="false">IF(A99&lt;N_len,"",AVERAGE(INDEX($C$9:$C$112,A99-N_len+1):C99))</f>
        <v>230.135384615385</v>
      </c>
      <c r="F99" s="16" t="n">
        <f aca="false">IF(E99="","",D99-E99)</f>
        <v>-0.738717948717948</v>
      </c>
      <c r="G99" s="16" t="n">
        <f aca="false">IF(A99&lt;N_len+N_sen-1,"",AVERAGE(INDEX($F$9:$F$112,A99-N_sen+1):F99))</f>
        <v>2.71529914529914</v>
      </c>
      <c r="H99" s="16" t="n">
        <f aca="false">IF(G99="","",F99-G99)</f>
        <v>-3.45401709401709</v>
      </c>
      <c r="I99" s="11" t="str">
        <f aca="false">IF(OR(H99="",H98=""),"",IF(AND(H98&lt;=0,H99&gt;0),"Cruce alcista",IF(AND(H98&gt;=0,H99&lt;0),"Cruce bajista","")))</f>
        <v/>
      </c>
      <c r="J99" s="18" t="n">
        <f aca="false">IF(OR(F99="",MACD_EMA!F99=""),"",F99-MACD_EMA!F99)</f>
        <v>-0.425659553126309</v>
      </c>
    </row>
    <row r="100" customFormat="false" ht="15" hidden="false" customHeight="false" outlineLevel="0" collapsed="false">
      <c r="A100" s="11" t="n">
        <f aca="false">ROW()-8</f>
        <v>92</v>
      </c>
      <c r="B100" s="14" t="n">
        <f aca="false">Datos!A93</f>
        <v>46192</v>
      </c>
      <c r="C100" s="15" t="n">
        <f aca="false">Datos!B93</f>
        <v>218.44</v>
      </c>
      <c r="D100" s="16" t="n">
        <f aca="false">IF(A100&lt;N_rap,"",AVERAGE(INDEX($C$9:$C$112,A100-N_rap+1):C100))</f>
        <v>228.231666666667</v>
      </c>
      <c r="E100" s="16" t="n">
        <f aca="false">IF(A100&lt;N_len,"",AVERAGE(INDEX($C$9:$C$112,A100-N_len+1):C100))</f>
        <v>229.477307692308</v>
      </c>
      <c r="F100" s="16" t="n">
        <f aca="false">IF(E100="","",D100-E100)</f>
        <v>-1.24564102564102</v>
      </c>
      <c r="G100" s="16" t="n">
        <f aca="false">IF(A100&lt;N_len+N_sen-1,"",AVERAGE(INDEX($F$9:$F$112,A100-N_sen+1):F100))</f>
        <v>2.09886752136752</v>
      </c>
      <c r="H100" s="16" t="n">
        <f aca="false">IF(G100="","",F100-G100)</f>
        <v>-3.34450854700854</v>
      </c>
      <c r="I100" s="11" t="str">
        <f aca="false">IF(OR(H100="",H99=""),"",IF(AND(H99&lt;=0,H100&gt;0),"Cruce alcista",IF(AND(H99&gt;=0,H100&lt;0),"Cruce bajista","")))</f>
        <v/>
      </c>
      <c r="J100" s="18" t="n">
        <f aca="false">IF(OR(F100="",MACD_EMA!F100=""),"",F100-MACD_EMA!F100)</f>
        <v>-0.212137187282394</v>
      </c>
    </row>
    <row r="101" customFormat="false" ht="15" hidden="false" customHeight="false" outlineLevel="0" collapsed="false">
      <c r="A101" s="11" t="n">
        <f aca="false">ROW()-8</f>
        <v>93</v>
      </c>
      <c r="B101" s="14" t="n">
        <f aca="false">Datos!A94</f>
        <v>46199</v>
      </c>
      <c r="C101" s="15" t="n">
        <f aca="false">Datos!B94</f>
        <v>222.1</v>
      </c>
      <c r="D101" s="16" t="n">
        <f aca="false">IF(A101&lt;N_rap,"",AVERAGE(INDEX($C$9:$C$112,A101-N_rap+1):C101))</f>
        <v>226.633333333333</v>
      </c>
      <c r="E101" s="16" t="n">
        <f aca="false">IF(A101&lt;N_len,"",AVERAGE(INDEX($C$9:$C$112,A101-N_len+1):C101))</f>
        <v>229.298846153846</v>
      </c>
      <c r="F101" s="16" t="n">
        <f aca="false">IF(E101="","",D101-E101)</f>
        <v>-2.66551282051282</v>
      </c>
      <c r="G101" s="16" t="n">
        <f aca="false">IF(A101&lt;N_len+N_sen-1,"",AVERAGE(INDEX($F$9:$F$112,A101-N_sen+1):F101))</f>
        <v>1.28064814814815</v>
      </c>
      <c r="H101" s="16" t="n">
        <f aca="false">IF(G101="","",F101-G101)</f>
        <v>-3.94616096866096</v>
      </c>
      <c r="I101" s="11" t="str">
        <f aca="false">IF(OR(H101="",H100=""),"",IF(AND(H100&lt;=0,H101&gt;0),"Cruce alcista",IF(AND(H100&gt;=0,H101&lt;0),"Cruce bajista","")))</f>
        <v/>
      </c>
      <c r="J101" s="18" t="n">
        <f aca="false">IF(OR(F101="",MACD_EMA!F101=""),"",F101-MACD_EMA!F101)</f>
        <v>-1.37130105791633</v>
      </c>
    </row>
    <row r="102" customFormat="false" ht="15" hidden="false" customHeight="false" outlineLevel="0" collapsed="false">
      <c r="A102" s="11" t="n">
        <f aca="false">ROW()-8</f>
        <v>94</v>
      </c>
      <c r="B102" s="14" t="n">
        <f aca="false">Datos!A95</f>
        <v>46206</v>
      </c>
      <c r="C102" s="15" t="n">
        <f aca="false">Datos!B95</f>
        <v>224.43</v>
      </c>
      <c r="D102" s="16" t="n">
        <f aca="false">IF(A102&lt;N_rap,"",AVERAGE(INDEX($C$9:$C$112,A102-N_rap+1):C102))</f>
        <v>225.101666666667</v>
      </c>
      <c r="E102" s="16" t="n">
        <f aca="false">IF(A102&lt;N_len,"",AVERAGE(INDEX($C$9:$C$112,A102-N_len+1):C102))</f>
        <v>229.288846153846</v>
      </c>
      <c r="F102" s="16" t="n">
        <f aca="false">IF(E102="","",D102-E102)</f>
        <v>-4.18717948717949</v>
      </c>
      <c r="G102" s="16" t="n">
        <f aca="false">IF(A102&lt;N_len+N_sen-1,"",AVERAGE(INDEX($F$9:$F$112,A102-N_sen+1):F102))</f>
        <v>0.255064102564101</v>
      </c>
      <c r="H102" s="16" t="n">
        <f aca="false">IF(G102="","",F102-G102)</f>
        <v>-4.44224358974359</v>
      </c>
      <c r="I102" s="11" t="str">
        <f aca="false">IF(OR(H102="",H101=""),"",IF(AND(H101&lt;=0,H102&gt;0),"Cruce alcista",IF(AND(H101&gt;=0,H102&lt;0),"Cruce bajista","")))</f>
        <v/>
      </c>
      <c r="J102" s="18" t="n">
        <f aca="false">IF(OR(F102="",MACD_EMA!F102=""),"",F102-MACD_EMA!F102)</f>
        <v>-2.88932717724677</v>
      </c>
    </row>
    <row r="103" customFormat="false" ht="15" hidden="false" customHeight="false" outlineLevel="0" collapsed="false">
      <c r="A103" s="11" t="n">
        <f aca="false">ROW()-8</f>
        <v>95</v>
      </c>
      <c r="B103" s="14" t="n">
        <f aca="false">Datos!A96</f>
        <v>46213</v>
      </c>
      <c r="C103" s="15" t="n">
        <f aca="false">Datos!B96</f>
        <v>222.12</v>
      </c>
      <c r="D103" s="16" t="n">
        <f aca="false">IF(A103&lt;N_rap,"",AVERAGE(INDEX($C$9:$C$112,A103-N_rap+1):C103))</f>
        <v>223.389166666667</v>
      </c>
      <c r="E103" s="16" t="n">
        <f aca="false">IF(A103&lt;N_len,"",AVERAGE(INDEX($C$9:$C$112,A103-N_len+1):C103))</f>
        <v>229.386538461538</v>
      </c>
      <c r="F103" s="16" t="n">
        <f aca="false">IF(E103="","",D103-E103)</f>
        <v>-5.99737179487178</v>
      </c>
      <c r="G103" s="16" t="n">
        <f aca="false">IF(A103&lt;N_len+N_sen-1,"",AVERAGE(INDEX($F$9:$F$112,A103-N_sen+1):F103))</f>
        <v>-1.0003774928775</v>
      </c>
      <c r="H103" s="16" t="n">
        <f aca="false">IF(G103="","",F103-G103)</f>
        <v>-4.99699430199429</v>
      </c>
      <c r="I103" s="11" t="str">
        <f aca="false">IF(OR(H103="",H102=""),"",IF(AND(H102&lt;=0,H103&gt;0),"Cruce alcista",IF(AND(H102&gt;=0,H103&lt;0),"Cruce bajista","")))</f>
        <v/>
      </c>
      <c r="J103" s="18" t="n">
        <f aca="false">IF(OR(F103="",MACD_EMA!F103=""),"",F103-MACD_EMA!F103)</f>
        <v>-4.52718403970334</v>
      </c>
    </row>
    <row r="104" customFormat="false" ht="15" hidden="false" customHeight="false" outlineLevel="0" collapsed="false">
      <c r="A104" s="11" t="n">
        <f aca="false">ROW()-8</f>
        <v>96</v>
      </c>
      <c r="B104" s="14" t="n">
        <f aca="false">Datos!A97</f>
        <v>46220</v>
      </c>
      <c r="C104" s="15" t="n">
        <f aca="false">Datos!B97</f>
        <v>216.6</v>
      </c>
      <c r="D104" s="16" t="n">
        <f aca="false">IF(A104&lt;N_rap,"",AVERAGE(INDEX($C$9:$C$112,A104-N_rap+1):C104))</f>
        <v>222.065</v>
      </c>
      <c r="E104" s="16" t="n">
        <f aca="false">IF(A104&lt;N_len,"",AVERAGE(INDEX($C$9:$C$112,A104-N_len+1):C104))</f>
        <v>229.316538461538</v>
      </c>
      <c r="F104" s="16" t="n">
        <f aca="false">IF(E104="","",D104-E104)</f>
        <v>-7.25153846153847</v>
      </c>
      <c r="G104" s="16" t="n">
        <f aca="false">IF(A104&lt;N_len+N_sen-1,"",AVERAGE(INDEX($F$9:$F$112,A104-N_sen+1):F104))</f>
        <v>-2.23530626780627</v>
      </c>
      <c r="H104" s="16" t="n">
        <f aca="false">IF(G104="","",F104-G104)</f>
        <v>-5.0162321937322</v>
      </c>
      <c r="I104" s="11" t="str">
        <f aca="false">IF(OR(H104="",H103=""),"",IF(AND(H103&lt;=0,H104&gt;0),"Cruce alcista",IF(AND(H103&gt;=0,H104&lt;0),"Cruce bajista","")))</f>
        <v/>
      </c>
      <c r="J104" s="18" t="n">
        <f aca="false">IF(OR(F104="",MACD_EMA!F104=""),"",F104-MACD_EMA!F104)</f>
        <v>-5.22274245446363</v>
      </c>
    </row>
    <row r="105" customFormat="false" ht="15" hidden="false" customHeight="false" outlineLevel="0" collapsed="false">
      <c r="A105" s="11" t="n">
        <f aca="false">ROW()-8</f>
        <v>97</v>
      </c>
      <c r="B105" s="14" t="n">
        <f aca="false">Datos!A98</f>
        <v>46227</v>
      </c>
      <c r="C105" s="15" t="n">
        <f aca="false">Datos!B98</f>
        <v>210.71</v>
      </c>
      <c r="D105" s="16" t="n">
        <f aca="false">IF(A105&lt;N_rap,"",AVERAGE(INDEX($C$9:$C$112,A105-N_rap+1):C105))</f>
        <v>220.71</v>
      </c>
      <c r="E105" s="16" t="n">
        <f aca="false">IF(A105&lt;N_len,"",AVERAGE(INDEX($C$9:$C$112,A105-N_len+1):C105))</f>
        <v>228.559615384615</v>
      </c>
      <c r="F105" s="16" t="n">
        <f aca="false">IF(E105="","",D105-E105)</f>
        <v>-7.84961538461539</v>
      </c>
      <c r="G105" s="16" t="n">
        <f aca="false">IF(A105&lt;N_len+N_sen-1,"",AVERAGE(INDEX($F$9:$F$112,A105-N_sen+1):F105))</f>
        <v>-3.29693732193733</v>
      </c>
      <c r="H105" s="16" t="n">
        <f aca="false">IF(G105="","",F105-G105)</f>
        <v>-4.55267806267806</v>
      </c>
      <c r="I105" s="11" t="str">
        <f aca="false">IF(OR(H105="",H104=""),"",IF(AND(H104&lt;=0,H105&gt;0),"Cruce alcista",IF(AND(H104&gt;=0,H105&lt;0),"Cruce bajista","")))</f>
        <v/>
      </c>
      <c r="J105" s="18" t="n">
        <f aca="false">IF(OR(F105="",MACD_EMA!F105=""),"",F105-MACD_EMA!F105)</f>
        <v>-4.93642597228137</v>
      </c>
    </row>
    <row r="106" customFormat="false" ht="15" hidden="false" customHeight="false" outlineLevel="0" collapsed="false">
      <c r="A106" s="11" t="n">
        <f aca="false">ROW()-8</f>
        <v>98</v>
      </c>
      <c r="B106" s="14" t="n">
        <f aca="false">Datos!A99</f>
        <v>46234</v>
      </c>
      <c r="C106" s="15" t="n">
        <f aca="false">Datos!B99</f>
        <v>210.84</v>
      </c>
      <c r="D106" s="16" t="n">
        <f aca="false">IF(A106&lt;N_rap,"",AVERAGE(INDEX($C$9:$C$112,A106-N_rap+1):C106))</f>
        <v>219.890833333333</v>
      </c>
      <c r="E106" s="16" t="n">
        <f aca="false">IF(A106&lt;N_len,"",AVERAGE(INDEX($C$9:$C$112,A106-N_len+1):C106))</f>
        <v>227.960384615385</v>
      </c>
      <c r="F106" s="16" t="n">
        <f aca="false">IF(E106="","",D106-E106)</f>
        <v>-8.06955128205127</v>
      </c>
      <c r="G106" s="16" t="n">
        <f aca="false">IF(A106&lt;N_len+N_sen-1,"",AVERAGE(INDEX($F$9:$F$112,A106-N_sen+1):F106))</f>
        <v>-4.24239316239316</v>
      </c>
      <c r="H106" s="16" t="n">
        <f aca="false">IF(G106="","",F106-G106)</f>
        <v>-3.8271581196581</v>
      </c>
      <c r="I106" s="11" t="str">
        <f aca="false">IF(OR(H106="",H105=""),"",IF(AND(H105&lt;=0,H106&gt;0),"Cruce alcista",IF(AND(H105&gt;=0,H106&lt;0),"Cruce bajista","")))</f>
        <v/>
      </c>
      <c r="J106" s="18" t="n">
        <f aca="false">IF(OR(F106="",MACD_EMA!F106=""),"",F106-MACD_EMA!F106)</f>
        <v>-4.50703016374308</v>
      </c>
    </row>
    <row r="107" customFormat="false" ht="15" hidden="false" customHeight="false" outlineLevel="0" collapsed="false">
      <c r="A107" s="11" t="n">
        <f aca="false">ROW()-8</f>
        <v>99</v>
      </c>
      <c r="B107" s="14" t="n">
        <f aca="false">Datos!A100</f>
        <v>46241</v>
      </c>
      <c r="C107" s="15" t="n">
        <f aca="false">Datos!B100</f>
        <v>206.07</v>
      </c>
      <c r="D107" s="16" t="n">
        <f aca="false">IF(A107&lt;N_rap,"",AVERAGE(INDEX($C$9:$C$112,A107-N_rap+1):C107))</f>
        <v>219.368333333333</v>
      </c>
      <c r="E107" s="16" t="n">
        <f aca="false">IF(A107&lt;N_len,"",AVERAGE(INDEX($C$9:$C$112,A107-N_len+1):C107))</f>
        <v>227.186538461538</v>
      </c>
      <c r="F107" s="16" t="n">
        <f aca="false">IF(E107="","",D107-E107)</f>
        <v>-7.81820512820514</v>
      </c>
      <c r="G107" s="16" t="n">
        <f aca="false">IF(A107&lt;N_len+N_sen-1,"",AVERAGE(INDEX($F$9:$F$112,A107-N_sen+1):F107))</f>
        <v>-5.09148148148148</v>
      </c>
      <c r="H107" s="16" t="n">
        <f aca="false">IF(G107="","",F107-G107)</f>
        <v>-2.72672364672366</v>
      </c>
      <c r="I107" s="11" t="str">
        <f aca="false">IF(OR(H107="",H106=""),"",IF(AND(H106&lt;=0,H107&gt;0),"Cruce alcista",IF(AND(H106&gt;=0,H107&lt;0),"Cruce bajista","")))</f>
        <v/>
      </c>
      <c r="J107" s="18" t="n">
        <f aca="false">IF(OR(F107="",MACD_EMA!F107=""),"",F107-MACD_EMA!F107)</f>
        <v>-3.40703405357311</v>
      </c>
    </row>
    <row r="108" customFormat="false" ht="15" hidden="false" customHeight="false" outlineLevel="0" collapsed="false">
      <c r="A108" s="11" t="n">
        <f aca="false">ROW()-8</f>
        <v>100</v>
      </c>
      <c r="B108" s="14" t="n">
        <f aca="false">Datos!A101</f>
        <v>46248</v>
      </c>
      <c r="C108" s="15" t="n">
        <f aca="false">Datos!B101</f>
        <v>207.56</v>
      </c>
      <c r="D108" s="16" t="n">
        <f aca="false">IF(A108&lt;N_rap,"",AVERAGE(INDEX($C$9:$C$112,A108-N_rap+1):C108))</f>
        <v>218.528333333333</v>
      </c>
      <c r="E108" s="16" t="n">
        <f aca="false">IF(A108&lt;N_len,"",AVERAGE(INDEX($C$9:$C$112,A108-N_len+1):C108))</f>
        <v>226.655</v>
      </c>
      <c r="F108" s="16" t="n">
        <f aca="false">IF(E108="","",D108-E108)</f>
        <v>-8.12666666666667</v>
      </c>
      <c r="G108" s="16" t="n">
        <f aca="false">IF(A108&lt;N_len+N_sen-1,"",AVERAGE(INDEX($F$9:$F$112,A108-N_sen+1):F108))</f>
        <v>-5.91236467236467</v>
      </c>
      <c r="H108" s="16" t="n">
        <f aca="false">IF(G108="","",F108-G108)</f>
        <v>-2.21430199430199</v>
      </c>
      <c r="I108" s="11" t="str">
        <f aca="false">IF(OR(H108="",H107=""),"",IF(AND(H107&lt;=0,H108&gt;0),"Cruce alcista",IF(AND(H107&gt;=0,H108&lt;0),"Cruce bajista","")))</f>
        <v/>
      </c>
      <c r="J108" s="18" t="n">
        <f aca="false">IF(OR(F108="",MACD_EMA!F108=""),"",F108-MACD_EMA!F108)</f>
        <v>-3.21972905730379</v>
      </c>
    </row>
    <row r="109" customFormat="false" ht="15" hidden="false" customHeight="false" outlineLevel="0" collapsed="false">
      <c r="A109" s="11" t="n">
        <f aca="false">ROW()-8</f>
        <v>101</v>
      </c>
      <c r="B109" s="14" t="n">
        <f aca="false">Datos!A102</f>
        <v>46255</v>
      </c>
      <c r="C109" s="15" t="n">
        <f aca="false">Datos!B102</f>
        <v>200.85</v>
      </c>
      <c r="D109" s="16" t="n">
        <f aca="false">IF(A109&lt;N_rap,"",AVERAGE(INDEX($C$9:$C$112,A109-N_rap+1):C109))</f>
        <v>216.479166666667</v>
      </c>
      <c r="E109" s="16" t="n">
        <f aca="false">IF(A109&lt;N_len,"",AVERAGE(INDEX($C$9:$C$112,A109-N_len+1):C109))</f>
        <v>225.200384615385</v>
      </c>
      <c r="F109" s="16" t="n">
        <f aca="false">IF(E109="","",D109-E109)</f>
        <v>-8.72121794871796</v>
      </c>
      <c r="G109" s="16" t="n">
        <f aca="false">IF(A109&lt;N_len+N_sen-1,"",AVERAGE(INDEX($F$9:$F$112,A109-N_sen+1):F109))</f>
        <v>-6.74298433048433</v>
      </c>
      <c r="H109" s="16" t="n">
        <f aca="false">IF(G109="","",F109-G109)</f>
        <v>-1.97823361823363</v>
      </c>
      <c r="I109" s="11" t="str">
        <f aca="false">IF(OR(H109="",H108=""),"",IF(AND(H108&lt;=0,H109&gt;0),"Cruce alcista",IF(AND(H108&gt;=0,H109&lt;0),"Cruce bajista","")))</f>
        <v/>
      </c>
      <c r="J109" s="18" t="n">
        <f aca="false">IF(OR(F109="",MACD_EMA!F109=""),"",F109-MACD_EMA!F109)</f>
        <v>-2.94650812678094</v>
      </c>
    </row>
    <row r="110" customFormat="false" ht="15" hidden="false" customHeight="false" outlineLevel="0" collapsed="false">
      <c r="A110" s="11" t="n">
        <f aca="false">ROW()-8</f>
        <v>102</v>
      </c>
      <c r="B110" s="14" t="n">
        <f aca="false">Datos!A103</f>
        <v>46262</v>
      </c>
      <c r="C110" s="15" t="n">
        <f aca="false">Datos!B103</f>
        <v>199.64</v>
      </c>
      <c r="D110" s="16" t="n">
        <f aca="false">IF(A110&lt;N_rap,"",AVERAGE(INDEX($C$9:$C$112,A110-N_rap+1):C110))</f>
        <v>213.756666666667</v>
      </c>
      <c r="E110" s="16" t="n">
        <f aca="false">IF(A110&lt;N_len,"",AVERAGE(INDEX($C$9:$C$112,A110-N_len+1):C110))</f>
        <v>223.476153846154</v>
      </c>
      <c r="F110" s="16" t="n">
        <f aca="false">IF(E110="","",D110-E110)</f>
        <v>-9.7194871794872</v>
      </c>
      <c r="G110" s="16" t="n">
        <f aca="false">IF(A110&lt;N_len+N_sen-1,"",AVERAGE(INDEX($F$9:$F$112,A110-N_sen+1):F110))</f>
        <v>-7.52675925925926</v>
      </c>
      <c r="H110" s="16" t="n">
        <f aca="false">IF(G110="","",F110-G110)</f>
        <v>-2.19272792022794</v>
      </c>
      <c r="I110" s="11" t="str">
        <f aca="false">IF(OR(H110="",H109=""),"",IF(AND(H109&lt;=0,H110&gt;0),"Cruce alcista",IF(AND(H109&gt;=0,H110&lt;0),"Cruce bajista","")))</f>
        <v/>
      </c>
      <c r="J110" s="18" t="n">
        <f aca="false">IF(OR(F110="",MACD_EMA!F110=""),"",F110-MACD_EMA!F110)</f>
        <v>-3.23418328584037</v>
      </c>
    </row>
    <row r="111" customFormat="false" ht="15" hidden="false" customHeight="false" outlineLevel="0" collapsed="false">
      <c r="A111" s="11" t="n">
        <f aca="false">ROW()-8</f>
        <v>103</v>
      </c>
      <c r="B111" s="14" t="n">
        <f aca="false">Datos!A104</f>
        <v>46269</v>
      </c>
      <c r="C111" s="15" t="n">
        <f aca="false">Datos!B104</f>
        <v>214.17</v>
      </c>
      <c r="D111" s="16" t="n">
        <f aca="false">IF(A111&lt;N_rap,"",AVERAGE(INDEX($C$9:$C$112,A111-N_rap+1):C111))</f>
        <v>212.794166666667</v>
      </c>
      <c r="E111" s="16" t="n">
        <f aca="false">IF(A111&lt;N_len,"",AVERAGE(INDEX($C$9:$C$112,A111-N_len+1):C111))</f>
        <v>222.425769230769</v>
      </c>
      <c r="F111" s="16" t="n">
        <f aca="false">IF(E111="","",D111-E111)</f>
        <v>-9.63160256410257</v>
      </c>
      <c r="G111" s="16" t="n">
        <f aca="false">IF(A111&lt;N_len+N_sen-1,"",AVERAGE(INDEX($F$9:$F$112,A111-N_sen+1):F111))</f>
        <v>-8.13169515669516</v>
      </c>
      <c r="H111" s="16" t="n">
        <f aca="false">IF(G111="","",F111-G111)</f>
        <v>-1.4999074074074</v>
      </c>
      <c r="I111" s="11" t="str">
        <f aca="false">IF(OR(H111="",H110=""),"",IF(AND(H110&lt;=0,H111&gt;0),"Cruce alcista",IF(AND(H110&gt;=0,H111&lt;0),"Cruce bajista","")))</f>
        <v/>
      </c>
      <c r="J111" s="18" t="n">
        <f aca="false">IF(OR(F111="",MACD_EMA!F111=""),"",F111-MACD_EMA!F111)</f>
        <v>-3.82256033955656</v>
      </c>
    </row>
    <row r="112" customFormat="false" ht="15" hidden="false" customHeight="false" outlineLevel="0" collapsed="false">
      <c r="A112" s="11" t="n">
        <f aca="false">ROW()-8</f>
        <v>104</v>
      </c>
      <c r="B112" s="14" t="n">
        <f aca="false">Datos!A105</f>
        <v>46276</v>
      </c>
      <c r="C112" s="15" t="n">
        <f aca="false">Datos!B105</f>
        <v>218.77</v>
      </c>
      <c r="D112" s="16" t="n">
        <f aca="false">IF(A112&lt;N_rap,"",AVERAGE(INDEX($C$9:$C$112,A112-N_rap+1):C112))</f>
        <v>212.821666666667</v>
      </c>
      <c r="E112" s="16" t="n">
        <f aca="false">IF(A112&lt;N_len,"",AVERAGE(INDEX($C$9:$C$112,A112-N_len+1):C112))</f>
        <v>221.663846153846</v>
      </c>
      <c r="F112" s="16" t="n">
        <f aca="false">IF(E112="","",D112-E112)</f>
        <v>-8.84217948717947</v>
      </c>
      <c r="G112" s="16" t="n">
        <f aca="false">IF(A112&lt;N_len+N_sen-1,"",AVERAGE(INDEX($F$9:$F$112,A112-N_sen+1):F112))</f>
        <v>-8.4477849002849</v>
      </c>
      <c r="H112" s="16" t="n">
        <f aca="false">IF(G112="","",F112-G112)</f>
        <v>-0.394394586894562</v>
      </c>
      <c r="I112" s="11" t="str">
        <f aca="false">IF(OR(H112="",H111=""),"",IF(AND(H111&lt;=0,H112&gt;0),"Cruce alcista",IF(AND(H111&gt;=0,H112&lt;0),"Cruce bajista","")))</f>
        <v/>
      </c>
      <c r="J112" s="18" t="n">
        <f aca="false">IF(OR(F112="",MACD_EMA!F112=""),"",F112-MACD_EMA!F112)</f>
        <v>-3.99612338200927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8" min="7" style="0" width="13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B3" s="11" t="s">
        <v>67</v>
      </c>
      <c r="C3" s="10" t="n">
        <v>14</v>
      </c>
      <c r="E3" s="11" t="s">
        <v>68</v>
      </c>
      <c r="F3" s="10" t="n">
        <v>3.6</v>
      </c>
      <c r="G3" s="11" t="s">
        <v>69</v>
      </c>
      <c r="H3" s="16" t="n">
        <f aca="false">100-100/(1+F3)</f>
        <v>78.2608695652174</v>
      </c>
    </row>
    <row r="4" customFormat="false" ht="15" hidden="false" customHeight="false" outlineLevel="0" collapsed="false">
      <c r="E4" s="13" t="s">
        <v>70</v>
      </c>
    </row>
    <row r="8" customFormat="false" ht="30" hidden="false" customHeight="true" outlineLevel="0" collapsed="false">
      <c r="A8" s="5" t="s">
        <v>48</v>
      </c>
      <c r="B8" s="5" t="s">
        <v>29</v>
      </c>
      <c r="C8" s="5" t="s">
        <v>30</v>
      </c>
      <c r="D8" s="5" t="s">
        <v>71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76</v>
      </c>
      <c r="J8" s="5" t="s">
        <v>77</v>
      </c>
      <c r="K8" s="5" t="s">
        <v>78</v>
      </c>
      <c r="L8" s="5" t="s">
        <v>79</v>
      </c>
      <c r="M8" s="5" t="s">
        <v>80</v>
      </c>
      <c r="N8" s="5" t="s">
        <v>81</v>
      </c>
    </row>
    <row r="9" customFormat="false" ht="15" hidden="false" customHeight="false" outlineLevel="0" collapsed="false">
      <c r="A9" s="11" t="n">
        <f aca="false">ROW()-8</f>
        <v>1</v>
      </c>
      <c r="B9" s="14" t="n">
        <f aca="false">Datos!A2</f>
        <v>45555</v>
      </c>
      <c r="C9" s="15" t="n">
        <f aca="false">Datos!B2</f>
        <v>167.72</v>
      </c>
      <c r="D9" s="19" t="str">
        <f aca="false">IF(A9=1,"",C9-C8)</f>
        <v/>
      </c>
      <c r="E9" s="19" t="str">
        <f aca="false">IF(D9="","",MAX(D9,0))</f>
        <v/>
      </c>
      <c r="F9" s="19" t="str">
        <f aca="false">IF(D9="","",MAX(-D9,0))</f>
        <v/>
      </c>
      <c r="G9" s="16" t="str">
        <f aca="false">IF(A9&lt;N_rsi+1,"",AVERAGE(INDEX($E$9:$E$112,A9-N_rsi+1):E9))</f>
        <v/>
      </c>
      <c r="H9" s="16" t="str">
        <f aca="false">IF(A9&lt;N_rsi+1,"",AVERAGE(INDEX($F$9:$F$112,A9-N_rsi+1):F9))</f>
        <v/>
      </c>
      <c r="I9" s="16" t="str">
        <f aca="false">IF(G9="","",IF(H9=0,"sin pérdidas",G9/H9))</f>
        <v/>
      </c>
      <c r="J9" s="19" t="str">
        <f aca="false">IF(G9="","",IF(G9+H9=0,50,100*G9/(G9+H9)))</f>
        <v/>
      </c>
      <c r="K9" s="16" t="str">
        <f aca="false">IF(A9&lt;N_rsi+1,"",IF(A9=N_rsi+1,AVERAGE($E$9:E9),((N_rsi-1)*K8+E9)/N_rsi))</f>
        <v/>
      </c>
      <c r="L9" s="16" t="str">
        <f aca="false">IF(A9&lt;N_rsi+1,"",IF(A9=N_rsi+1,AVERAGE($F$9:F9),((N_rsi-1)*L8+F9)/N_rsi))</f>
        <v/>
      </c>
      <c r="M9" s="19" t="str">
        <f aca="false">IF(K9="","",IF(K9+L9=0,50,100*K9/(K9+L9)))</f>
        <v/>
      </c>
      <c r="N9" s="11" t="str">
        <f aca="false">IF(M9="","",IF(M9&gt;70,"Sobrecompra",IF(M9&lt;30,"Sobreventa","Equilibrio")))</f>
        <v/>
      </c>
    </row>
    <row r="10" customFormat="false" ht="15" hidden="false" customHeight="false" outlineLevel="0" collapsed="false">
      <c r="A10" s="11" t="n">
        <f aca="false">ROW()-8</f>
        <v>2</v>
      </c>
      <c r="B10" s="14" t="n">
        <f aca="false">Datos!A3</f>
        <v>45562</v>
      </c>
      <c r="C10" s="15" t="n">
        <f aca="false">Datos!B3</f>
        <v>172.28</v>
      </c>
      <c r="D10" s="19" t="n">
        <f aca="false">IF(A10=1,"",C10-C9)</f>
        <v>4.56</v>
      </c>
      <c r="E10" s="19" t="n">
        <f aca="false">IF(D10="","",MAX(D10,0))</f>
        <v>4.56</v>
      </c>
      <c r="F10" s="19" t="n">
        <f aca="false">IF(D10="","",MAX(-D10,0))</f>
        <v>0</v>
      </c>
      <c r="G10" s="16" t="str">
        <f aca="false">IF(A10&lt;N_rsi+1,"",AVERAGE(INDEX($E$9:$E$112,A10-N_rsi+1):E10))</f>
        <v/>
      </c>
      <c r="H10" s="16" t="str">
        <f aca="false">IF(A10&lt;N_rsi+1,"",AVERAGE(INDEX($F$9:$F$112,A10-N_rsi+1):F10))</f>
        <v/>
      </c>
      <c r="I10" s="16" t="str">
        <f aca="false">IF(G10="","",IF(H10=0,"sin pérdidas",G10/H10))</f>
        <v/>
      </c>
      <c r="J10" s="19" t="str">
        <f aca="false">IF(G10="","",IF(G10+H10=0,50,100*G10/(G10+H10)))</f>
        <v/>
      </c>
      <c r="K10" s="16" t="str">
        <f aca="false">IF(A10&lt;N_rsi+1,"",IF(A10=N_rsi+1,AVERAGE($E$9:E10),((N_rsi-1)*K9+E10)/N_rsi))</f>
        <v/>
      </c>
      <c r="L10" s="16" t="str">
        <f aca="false">IF(A10&lt;N_rsi+1,"",IF(A10=N_rsi+1,AVERAGE($F$9:F10),((N_rsi-1)*L9+F10)/N_rsi))</f>
        <v/>
      </c>
      <c r="M10" s="19" t="str">
        <f aca="false">IF(K10="","",IF(K10+L10=0,50,100*K10/(K10+L10)))</f>
        <v/>
      </c>
      <c r="N10" s="11" t="str">
        <f aca="false">IF(M10="","",IF(M10&gt;70,"Sobrecompra",IF(M10&lt;30,"Sobreventa","Equilibrio")))</f>
        <v/>
      </c>
    </row>
    <row r="11" customFormat="false" ht="15" hidden="false" customHeight="false" outlineLevel="0" collapsed="false">
      <c r="A11" s="11" t="n">
        <f aca="false">ROW()-8</f>
        <v>3</v>
      </c>
      <c r="B11" s="14" t="n">
        <f aca="false">Datos!A4</f>
        <v>45569</v>
      </c>
      <c r="C11" s="15" t="n">
        <f aca="false">Datos!B4</f>
        <v>167.83</v>
      </c>
      <c r="D11" s="19" t="n">
        <f aca="false">IF(A11=1,"",C11-C10)</f>
        <v>-4.44999999999999</v>
      </c>
      <c r="E11" s="19" t="n">
        <f aca="false">IF(D11="","",MAX(D11,0))</f>
        <v>0</v>
      </c>
      <c r="F11" s="19" t="n">
        <f aca="false">IF(D11="","",MAX(-D11,0))</f>
        <v>4.44999999999999</v>
      </c>
      <c r="G11" s="16" t="str">
        <f aca="false">IF(A11&lt;N_rsi+1,"",AVERAGE(INDEX($E$9:$E$112,A11-N_rsi+1):E11))</f>
        <v/>
      </c>
      <c r="H11" s="16" t="str">
        <f aca="false">IF(A11&lt;N_rsi+1,"",AVERAGE(INDEX($F$9:$F$112,A11-N_rsi+1):F11))</f>
        <v/>
      </c>
      <c r="I11" s="16" t="str">
        <f aca="false">IF(G11="","",IF(H11=0,"sin pérdidas",G11/H11))</f>
        <v/>
      </c>
      <c r="J11" s="19" t="str">
        <f aca="false">IF(G11="","",IF(G11+H11=0,50,100*G11/(G11+H11)))</f>
        <v/>
      </c>
      <c r="K11" s="16" t="str">
        <f aca="false">IF(A11&lt;N_rsi+1,"",IF(A11=N_rsi+1,AVERAGE($E$9:E11),((N_rsi-1)*K10+E11)/N_rsi))</f>
        <v/>
      </c>
      <c r="L11" s="16" t="str">
        <f aca="false">IF(A11&lt;N_rsi+1,"",IF(A11=N_rsi+1,AVERAGE($F$9:F11),((N_rsi-1)*L10+F11)/N_rsi))</f>
        <v/>
      </c>
      <c r="M11" s="19" t="str">
        <f aca="false">IF(K11="","",IF(K11+L11=0,50,100*K11/(K11+L11)))</f>
        <v/>
      </c>
      <c r="N11" s="11" t="str">
        <f aca="false">IF(M11="","",IF(M11&gt;70,"Sobrecompra",IF(M11&lt;30,"Sobreventa","Equilibrio")))</f>
        <v/>
      </c>
    </row>
    <row r="12" customFormat="false" ht="15" hidden="false" customHeight="false" outlineLevel="0" collapsed="false">
      <c r="A12" s="11" t="n">
        <f aca="false">ROW()-8</f>
        <v>4</v>
      </c>
      <c r="B12" s="14" t="n">
        <f aca="false">Datos!A5</f>
        <v>45576</v>
      </c>
      <c r="C12" s="15" t="n">
        <f aca="false">Datos!B5</f>
        <v>165.21</v>
      </c>
      <c r="D12" s="19" t="n">
        <f aca="false">IF(A12=1,"",C12-C11)</f>
        <v>-2.62</v>
      </c>
      <c r="E12" s="19" t="n">
        <f aca="false">IF(D12="","",MAX(D12,0))</f>
        <v>0</v>
      </c>
      <c r="F12" s="19" t="n">
        <f aca="false">IF(D12="","",MAX(-D12,0))</f>
        <v>2.62</v>
      </c>
      <c r="G12" s="16" t="str">
        <f aca="false">IF(A12&lt;N_rsi+1,"",AVERAGE(INDEX($E$9:$E$112,A12-N_rsi+1):E12))</f>
        <v/>
      </c>
      <c r="H12" s="16" t="str">
        <f aca="false">IF(A12&lt;N_rsi+1,"",AVERAGE(INDEX($F$9:$F$112,A12-N_rsi+1):F12))</f>
        <v/>
      </c>
      <c r="I12" s="16" t="str">
        <f aca="false">IF(G12="","",IF(H12=0,"sin pérdidas",G12/H12))</f>
        <v/>
      </c>
      <c r="J12" s="19" t="str">
        <f aca="false">IF(G12="","",IF(G12+H12=0,50,100*G12/(G12+H12)))</f>
        <v/>
      </c>
      <c r="K12" s="16" t="str">
        <f aca="false">IF(A12&lt;N_rsi+1,"",IF(A12=N_rsi+1,AVERAGE($E$9:E12),((N_rsi-1)*K11+E12)/N_rsi))</f>
        <v/>
      </c>
      <c r="L12" s="16" t="str">
        <f aca="false">IF(A12&lt;N_rsi+1,"",IF(A12=N_rsi+1,AVERAGE($F$9:F12),((N_rsi-1)*L11+F12)/N_rsi))</f>
        <v/>
      </c>
      <c r="M12" s="19" t="str">
        <f aca="false">IF(K12="","",IF(K12+L12=0,50,100*K12/(K12+L12)))</f>
        <v/>
      </c>
      <c r="N12" s="11" t="str">
        <f aca="false">IF(M12="","",IF(M12&gt;70,"Sobrecompra",IF(M12&lt;30,"Sobreventa","Equilibrio")))</f>
        <v/>
      </c>
    </row>
    <row r="13" customFormat="false" ht="15" hidden="false" customHeight="false" outlineLevel="0" collapsed="false">
      <c r="A13" s="11" t="n">
        <f aca="false">ROW()-8</f>
        <v>5</v>
      </c>
      <c r="B13" s="14" t="n">
        <f aca="false">Datos!A6</f>
        <v>45583</v>
      </c>
      <c r="C13" s="15" t="n">
        <f aca="false">Datos!B6</f>
        <v>162.76</v>
      </c>
      <c r="D13" s="19" t="n">
        <f aca="false">IF(A13=1,"",C13-C12)</f>
        <v>-2.45000000000002</v>
      </c>
      <c r="E13" s="19" t="n">
        <f aca="false">IF(D13="","",MAX(D13,0))</f>
        <v>0</v>
      </c>
      <c r="F13" s="19" t="n">
        <f aca="false">IF(D13="","",MAX(-D13,0))</f>
        <v>2.45000000000002</v>
      </c>
      <c r="G13" s="16" t="str">
        <f aca="false">IF(A13&lt;N_rsi+1,"",AVERAGE(INDEX($E$9:$E$112,A13-N_rsi+1):E13))</f>
        <v/>
      </c>
      <c r="H13" s="16" t="str">
        <f aca="false">IF(A13&lt;N_rsi+1,"",AVERAGE(INDEX($F$9:$F$112,A13-N_rsi+1):F13))</f>
        <v/>
      </c>
      <c r="I13" s="16" t="str">
        <f aca="false">IF(G13="","",IF(H13=0,"sin pérdidas",G13/H13))</f>
        <v/>
      </c>
      <c r="J13" s="19" t="str">
        <f aca="false">IF(G13="","",IF(G13+H13=0,50,100*G13/(G13+H13)))</f>
        <v/>
      </c>
      <c r="K13" s="16" t="str">
        <f aca="false">IF(A13&lt;N_rsi+1,"",IF(A13=N_rsi+1,AVERAGE($E$9:E13),((N_rsi-1)*K12+E13)/N_rsi))</f>
        <v/>
      </c>
      <c r="L13" s="16" t="str">
        <f aca="false">IF(A13&lt;N_rsi+1,"",IF(A13=N_rsi+1,AVERAGE($F$9:F13),((N_rsi-1)*L12+F13)/N_rsi))</f>
        <v/>
      </c>
      <c r="M13" s="19" t="str">
        <f aca="false">IF(K13="","",IF(K13+L13=0,50,100*K13/(K13+L13)))</f>
        <v/>
      </c>
      <c r="N13" s="11" t="str">
        <f aca="false">IF(M13="","",IF(M13&gt;70,"Sobrecompra",IF(M13&lt;30,"Sobreventa","Equilibrio")))</f>
        <v/>
      </c>
    </row>
    <row r="14" customFormat="false" ht="15" hidden="false" customHeight="false" outlineLevel="0" collapsed="false">
      <c r="A14" s="11" t="n">
        <f aca="false">ROW()-8</f>
        <v>6</v>
      </c>
      <c r="B14" s="14" t="n">
        <f aca="false">Datos!A7</f>
        <v>45590</v>
      </c>
      <c r="C14" s="15" t="n">
        <f aca="false">Datos!B7</f>
        <v>165.13</v>
      </c>
      <c r="D14" s="19" t="n">
        <f aca="false">IF(A14=1,"",C14-C13)</f>
        <v>2.37</v>
      </c>
      <c r="E14" s="19" t="n">
        <f aca="false">IF(D14="","",MAX(D14,0))</f>
        <v>2.37</v>
      </c>
      <c r="F14" s="19" t="n">
        <f aca="false">IF(D14="","",MAX(-D14,0))</f>
        <v>0</v>
      </c>
      <c r="G14" s="16" t="str">
        <f aca="false">IF(A14&lt;N_rsi+1,"",AVERAGE(INDEX($E$9:$E$112,A14-N_rsi+1):E14))</f>
        <v/>
      </c>
      <c r="H14" s="16" t="str">
        <f aca="false">IF(A14&lt;N_rsi+1,"",AVERAGE(INDEX($F$9:$F$112,A14-N_rsi+1):F14))</f>
        <v/>
      </c>
      <c r="I14" s="16" t="str">
        <f aca="false">IF(G14="","",IF(H14=0,"sin pérdidas",G14/H14))</f>
        <v/>
      </c>
      <c r="J14" s="19" t="str">
        <f aca="false">IF(G14="","",IF(G14+H14=0,50,100*G14/(G14+H14)))</f>
        <v/>
      </c>
      <c r="K14" s="16" t="str">
        <f aca="false">IF(A14&lt;N_rsi+1,"",IF(A14=N_rsi+1,AVERAGE($E$9:E14),((N_rsi-1)*K13+E14)/N_rsi))</f>
        <v/>
      </c>
      <c r="L14" s="16" t="str">
        <f aca="false">IF(A14&lt;N_rsi+1,"",IF(A14=N_rsi+1,AVERAGE($F$9:F14),((N_rsi-1)*L13+F14)/N_rsi))</f>
        <v/>
      </c>
      <c r="M14" s="19" t="str">
        <f aca="false">IF(K14="","",IF(K14+L14=0,50,100*K14/(K14+L14)))</f>
        <v/>
      </c>
      <c r="N14" s="11" t="str">
        <f aca="false">IF(M14="","",IF(M14&gt;70,"Sobrecompra",IF(M14&lt;30,"Sobreventa","Equilibrio")))</f>
        <v/>
      </c>
    </row>
    <row r="15" customFormat="false" ht="15" hidden="false" customHeight="false" outlineLevel="0" collapsed="false">
      <c r="A15" s="11" t="n">
        <f aca="false">ROW()-8</f>
        <v>7</v>
      </c>
      <c r="B15" s="14" t="n">
        <f aca="false">Datos!A8</f>
        <v>45597</v>
      </c>
      <c r="C15" s="15" t="n">
        <f aca="false">Datos!B8</f>
        <v>165.35</v>
      </c>
      <c r="D15" s="19" t="n">
        <f aca="false">IF(A15=1,"",C15-C14)</f>
        <v>0.219999999999999</v>
      </c>
      <c r="E15" s="19" t="n">
        <f aca="false">IF(D15="","",MAX(D15,0))</f>
        <v>0.219999999999999</v>
      </c>
      <c r="F15" s="19" t="n">
        <f aca="false">IF(D15="","",MAX(-D15,0))</f>
        <v>0</v>
      </c>
      <c r="G15" s="16" t="str">
        <f aca="false">IF(A15&lt;N_rsi+1,"",AVERAGE(INDEX($E$9:$E$112,A15-N_rsi+1):E15))</f>
        <v/>
      </c>
      <c r="H15" s="16" t="str">
        <f aca="false">IF(A15&lt;N_rsi+1,"",AVERAGE(INDEX($F$9:$F$112,A15-N_rsi+1):F15))</f>
        <v/>
      </c>
      <c r="I15" s="16" t="str">
        <f aca="false">IF(G15="","",IF(H15=0,"sin pérdidas",G15/H15))</f>
        <v/>
      </c>
      <c r="J15" s="19" t="str">
        <f aca="false">IF(G15="","",IF(G15+H15=0,50,100*G15/(G15+H15)))</f>
        <v/>
      </c>
      <c r="K15" s="16" t="str">
        <f aca="false">IF(A15&lt;N_rsi+1,"",IF(A15=N_rsi+1,AVERAGE($E$9:E15),((N_rsi-1)*K14+E15)/N_rsi))</f>
        <v/>
      </c>
      <c r="L15" s="16" t="str">
        <f aca="false">IF(A15&lt;N_rsi+1,"",IF(A15=N_rsi+1,AVERAGE($F$9:F15),((N_rsi-1)*L14+F15)/N_rsi))</f>
        <v/>
      </c>
      <c r="M15" s="19" t="str">
        <f aca="false">IF(K15="","",IF(K15+L15=0,50,100*K15/(K15+L15)))</f>
        <v/>
      </c>
      <c r="N15" s="11" t="str">
        <f aca="false">IF(M15="","",IF(M15&gt;70,"Sobrecompra",IF(M15&lt;30,"Sobreventa","Equilibrio")))</f>
        <v/>
      </c>
    </row>
    <row r="16" customFormat="false" ht="15" hidden="false" customHeight="false" outlineLevel="0" collapsed="false">
      <c r="A16" s="11" t="n">
        <f aca="false">ROW()-8</f>
        <v>8</v>
      </c>
      <c r="B16" s="14" t="n">
        <f aca="false">Datos!A9</f>
        <v>45604</v>
      </c>
      <c r="C16" s="15" t="n">
        <f aca="false">Datos!B9</f>
        <v>161.85</v>
      </c>
      <c r="D16" s="19" t="n">
        <f aca="false">IF(A16=1,"",C16-C15)</f>
        <v>-3.5</v>
      </c>
      <c r="E16" s="19" t="n">
        <f aca="false">IF(D16="","",MAX(D16,0))</f>
        <v>0</v>
      </c>
      <c r="F16" s="19" t="n">
        <f aca="false">IF(D16="","",MAX(-D16,0))</f>
        <v>3.5</v>
      </c>
      <c r="G16" s="16" t="str">
        <f aca="false">IF(A16&lt;N_rsi+1,"",AVERAGE(INDEX($E$9:$E$112,A16-N_rsi+1):E16))</f>
        <v/>
      </c>
      <c r="H16" s="16" t="str">
        <f aca="false">IF(A16&lt;N_rsi+1,"",AVERAGE(INDEX($F$9:$F$112,A16-N_rsi+1):F16))</f>
        <v/>
      </c>
      <c r="I16" s="16" t="str">
        <f aca="false">IF(G16="","",IF(H16=0,"sin pérdidas",G16/H16))</f>
        <v/>
      </c>
      <c r="J16" s="19" t="str">
        <f aca="false">IF(G16="","",IF(G16+H16=0,50,100*G16/(G16+H16)))</f>
        <v/>
      </c>
      <c r="K16" s="16" t="str">
        <f aca="false">IF(A16&lt;N_rsi+1,"",IF(A16=N_rsi+1,AVERAGE($E$9:E16),((N_rsi-1)*K15+E16)/N_rsi))</f>
        <v/>
      </c>
      <c r="L16" s="16" t="str">
        <f aca="false">IF(A16&lt;N_rsi+1,"",IF(A16=N_rsi+1,AVERAGE($F$9:F16),((N_rsi-1)*L15+F16)/N_rsi))</f>
        <v/>
      </c>
      <c r="M16" s="19" t="str">
        <f aca="false">IF(K16="","",IF(K16+L16=0,50,100*K16/(K16+L16)))</f>
        <v/>
      </c>
      <c r="N16" s="11" t="str">
        <f aca="false">IF(M16="","",IF(M16&gt;70,"Sobrecompra",IF(M16&lt;30,"Sobreventa","Equilibrio")))</f>
        <v/>
      </c>
    </row>
    <row r="17" customFormat="false" ht="15" hidden="false" customHeight="false" outlineLevel="0" collapsed="false">
      <c r="A17" s="11" t="n">
        <f aca="false">ROW()-8</f>
        <v>9</v>
      </c>
      <c r="B17" s="14" t="n">
        <f aca="false">Datos!A10</f>
        <v>45611</v>
      </c>
      <c r="C17" s="15" t="n">
        <f aca="false">Datos!B10</f>
        <v>165.48</v>
      </c>
      <c r="D17" s="19" t="n">
        <f aca="false">IF(A17=1,"",C17-C16)</f>
        <v>3.63</v>
      </c>
      <c r="E17" s="19" t="n">
        <f aca="false">IF(D17="","",MAX(D17,0))</f>
        <v>3.63</v>
      </c>
      <c r="F17" s="19" t="n">
        <f aca="false">IF(D17="","",MAX(-D17,0))</f>
        <v>0</v>
      </c>
      <c r="G17" s="16" t="str">
        <f aca="false">IF(A17&lt;N_rsi+1,"",AVERAGE(INDEX($E$9:$E$112,A17-N_rsi+1):E17))</f>
        <v/>
      </c>
      <c r="H17" s="16" t="str">
        <f aca="false">IF(A17&lt;N_rsi+1,"",AVERAGE(INDEX($F$9:$F$112,A17-N_rsi+1):F17))</f>
        <v/>
      </c>
      <c r="I17" s="16" t="str">
        <f aca="false">IF(G17="","",IF(H17=0,"sin pérdidas",G17/H17))</f>
        <v/>
      </c>
      <c r="J17" s="19" t="str">
        <f aca="false">IF(G17="","",IF(G17+H17=0,50,100*G17/(G17+H17)))</f>
        <v/>
      </c>
      <c r="K17" s="16" t="str">
        <f aca="false">IF(A17&lt;N_rsi+1,"",IF(A17=N_rsi+1,AVERAGE($E$9:E17),((N_rsi-1)*K16+E17)/N_rsi))</f>
        <v/>
      </c>
      <c r="L17" s="16" t="str">
        <f aca="false">IF(A17&lt;N_rsi+1,"",IF(A17=N_rsi+1,AVERAGE($F$9:F17),((N_rsi-1)*L16+F17)/N_rsi))</f>
        <v/>
      </c>
      <c r="M17" s="19" t="str">
        <f aca="false">IF(K17="","",IF(K17+L17=0,50,100*K17/(K17+L17)))</f>
        <v/>
      </c>
      <c r="N17" s="11" t="str">
        <f aca="false">IF(M17="","",IF(M17&gt;70,"Sobrecompra",IF(M17&lt;30,"Sobreventa","Equilibrio")))</f>
        <v/>
      </c>
    </row>
    <row r="18" customFormat="false" ht="15" hidden="false" customHeight="false" outlineLevel="0" collapsed="false">
      <c r="A18" s="11" t="n">
        <f aca="false">ROW()-8</f>
        <v>10</v>
      </c>
      <c r="B18" s="14" t="n">
        <f aca="false">Datos!A11</f>
        <v>45618</v>
      </c>
      <c r="C18" s="15" t="n">
        <f aca="false">Datos!B11</f>
        <v>162.15</v>
      </c>
      <c r="D18" s="19" t="n">
        <f aca="false">IF(A18=1,"",C18-C17)</f>
        <v>-3.32999999999998</v>
      </c>
      <c r="E18" s="19" t="n">
        <f aca="false">IF(D18="","",MAX(D18,0))</f>
        <v>0</v>
      </c>
      <c r="F18" s="19" t="n">
        <f aca="false">IF(D18="","",MAX(-D18,0))</f>
        <v>3.32999999999998</v>
      </c>
      <c r="G18" s="16" t="str">
        <f aca="false">IF(A18&lt;N_rsi+1,"",AVERAGE(INDEX($E$9:$E$112,A18-N_rsi+1):E18))</f>
        <v/>
      </c>
      <c r="H18" s="16" t="str">
        <f aca="false">IF(A18&lt;N_rsi+1,"",AVERAGE(INDEX($F$9:$F$112,A18-N_rsi+1):F18))</f>
        <v/>
      </c>
      <c r="I18" s="16" t="str">
        <f aca="false">IF(G18="","",IF(H18=0,"sin pérdidas",G18/H18))</f>
        <v/>
      </c>
      <c r="J18" s="19" t="str">
        <f aca="false">IF(G18="","",IF(G18+H18=0,50,100*G18/(G18+H18)))</f>
        <v/>
      </c>
      <c r="K18" s="16" t="str">
        <f aca="false">IF(A18&lt;N_rsi+1,"",IF(A18=N_rsi+1,AVERAGE($E$9:E18),((N_rsi-1)*K17+E18)/N_rsi))</f>
        <v/>
      </c>
      <c r="L18" s="16" t="str">
        <f aca="false">IF(A18&lt;N_rsi+1,"",IF(A18=N_rsi+1,AVERAGE($F$9:F18),((N_rsi-1)*L17+F18)/N_rsi))</f>
        <v/>
      </c>
      <c r="M18" s="19" t="str">
        <f aca="false">IF(K18="","",IF(K18+L18=0,50,100*K18/(K18+L18)))</f>
        <v/>
      </c>
      <c r="N18" s="11" t="str">
        <f aca="false">IF(M18="","",IF(M18&gt;70,"Sobrecompra",IF(M18&lt;30,"Sobreventa","Equilibrio")))</f>
        <v/>
      </c>
    </row>
    <row r="19" customFormat="false" ht="15" hidden="false" customHeight="false" outlineLevel="0" collapsed="false">
      <c r="A19" s="11" t="n">
        <f aca="false">ROW()-8</f>
        <v>11</v>
      </c>
      <c r="B19" s="14" t="n">
        <f aca="false">Datos!A12</f>
        <v>45625</v>
      </c>
      <c r="C19" s="15" t="n">
        <f aca="false">Datos!B12</f>
        <v>166.72</v>
      </c>
      <c r="D19" s="19" t="n">
        <f aca="false">IF(A19=1,"",C19-C18)</f>
        <v>4.56999999999999</v>
      </c>
      <c r="E19" s="19" t="n">
        <f aca="false">IF(D19="","",MAX(D19,0))</f>
        <v>4.56999999999999</v>
      </c>
      <c r="F19" s="19" t="n">
        <f aca="false">IF(D19="","",MAX(-D19,0))</f>
        <v>0</v>
      </c>
      <c r="G19" s="16" t="str">
        <f aca="false">IF(A19&lt;N_rsi+1,"",AVERAGE(INDEX($E$9:$E$112,A19-N_rsi+1):E19))</f>
        <v/>
      </c>
      <c r="H19" s="16" t="str">
        <f aca="false">IF(A19&lt;N_rsi+1,"",AVERAGE(INDEX($F$9:$F$112,A19-N_rsi+1):F19))</f>
        <v/>
      </c>
      <c r="I19" s="16" t="str">
        <f aca="false">IF(G19="","",IF(H19=0,"sin pérdidas",G19/H19))</f>
        <v/>
      </c>
      <c r="J19" s="19" t="str">
        <f aca="false">IF(G19="","",IF(G19+H19=0,50,100*G19/(G19+H19)))</f>
        <v/>
      </c>
      <c r="K19" s="16" t="str">
        <f aca="false">IF(A19&lt;N_rsi+1,"",IF(A19=N_rsi+1,AVERAGE($E$9:E19),((N_rsi-1)*K18+E19)/N_rsi))</f>
        <v/>
      </c>
      <c r="L19" s="16" t="str">
        <f aca="false">IF(A19&lt;N_rsi+1,"",IF(A19=N_rsi+1,AVERAGE($F$9:F19),((N_rsi-1)*L18+F19)/N_rsi))</f>
        <v/>
      </c>
      <c r="M19" s="19" t="str">
        <f aca="false">IF(K19="","",IF(K19+L19=0,50,100*K19/(K19+L19)))</f>
        <v/>
      </c>
      <c r="N19" s="11" t="str">
        <f aca="false">IF(M19="","",IF(M19&gt;70,"Sobrecompra",IF(M19&lt;30,"Sobreventa","Equilibrio")))</f>
        <v/>
      </c>
    </row>
    <row r="20" customFormat="false" ht="15" hidden="false" customHeight="false" outlineLevel="0" collapsed="false">
      <c r="A20" s="11" t="n">
        <f aca="false">ROW()-8</f>
        <v>12</v>
      </c>
      <c r="B20" s="14" t="n">
        <f aca="false">Datos!A13</f>
        <v>45632</v>
      </c>
      <c r="C20" s="15" t="n">
        <f aca="false">Datos!B13</f>
        <v>162.27</v>
      </c>
      <c r="D20" s="19" t="n">
        <f aca="false">IF(A20=1,"",C20-C19)</f>
        <v>-4.44999999999999</v>
      </c>
      <c r="E20" s="19" t="n">
        <f aca="false">IF(D20="","",MAX(D20,0))</f>
        <v>0</v>
      </c>
      <c r="F20" s="19" t="n">
        <f aca="false">IF(D20="","",MAX(-D20,0))</f>
        <v>4.44999999999999</v>
      </c>
      <c r="G20" s="16" t="str">
        <f aca="false">IF(A20&lt;N_rsi+1,"",AVERAGE(INDEX($E$9:$E$112,A20-N_rsi+1):E20))</f>
        <v/>
      </c>
      <c r="H20" s="16" t="str">
        <f aca="false">IF(A20&lt;N_rsi+1,"",AVERAGE(INDEX($F$9:$F$112,A20-N_rsi+1):F20))</f>
        <v/>
      </c>
      <c r="I20" s="16" t="str">
        <f aca="false">IF(G20="","",IF(H20=0,"sin pérdidas",G20/H20))</f>
        <v/>
      </c>
      <c r="J20" s="19" t="str">
        <f aca="false">IF(G20="","",IF(G20+H20=0,50,100*G20/(G20+H20)))</f>
        <v/>
      </c>
      <c r="K20" s="16" t="str">
        <f aca="false">IF(A20&lt;N_rsi+1,"",IF(A20=N_rsi+1,AVERAGE($E$9:E20),((N_rsi-1)*K19+E20)/N_rsi))</f>
        <v/>
      </c>
      <c r="L20" s="16" t="str">
        <f aca="false">IF(A20&lt;N_rsi+1,"",IF(A20=N_rsi+1,AVERAGE($F$9:F20),((N_rsi-1)*L19+F20)/N_rsi))</f>
        <v/>
      </c>
      <c r="M20" s="19" t="str">
        <f aca="false">IF(K20="","",IF(K20+L20=0,50,100*K20/(K20+L20)))</f>
        <v/>
      </c>
      <c r="N20" s="11" t="str">
        <f aca="false">IF(M20="","",IF(M20&gt;70,"Sobrecompra",IF(M20&lt;30,"Sobreventa","Equilibrio")))</f>
        <v/>
      </c>
    </row>
    <row r="21" customFormat="false" ht="15" hidden="false" customHeight="false" outlineLevel="0" collapsed="false">
      <c r="A21" s="11" t="n">
        <f aca="false">ROW()-8</f>
        <v>13</v>
      </c>
      <c r="B21" s="14" t="n">
        <f aca="false">Datos!A14</f>
        <v>45639</v>
      </c>
      <c r="C21" s="15" t="n">
        <f aca="false">Datos!B14</f>
        <v>158.8</v>
      </c>
      <c r="D21" s="19" t="n">
        <f aca="false">IF(A21=1,"",C21-C20)</f>
        <v>-3.47</v>
      </c>
      <c r="E21" s="19" t="n">
        <f aca="false">IF(D21="","",MAX(D21,0))</f>
        <v>0</v>
      </c>
      <c r="F21" s="19" t="n">
        <f aca="false">IF(D21="","",MAX(-D21,0))</f>
        <v>3.47</v>
      </c>
      <c r="G21" s="16" t="str">
        <f aca="false">IF(A21&lt;N_rsi+1,"",AVERAGE(INDEX($E$9:$E$112,A21-N_rsi+1):E21))</f>
        <v/>
      </c>
      <c r="H21" s="16" t="str">
        <f aca="false">IF(A21&lt;N_rsi+1,"",AVERAGE(INDEX($F$9:$F$112,A21-N_rsi+1):F21))</f>
        <v/>
      </c>
      <c r="I21" s="16" t="str">
        <f aca="false">IF(G21="","",IF(H21=0,"sin pérdidas",G21/H21))</f>
        <v/>
      </c>
      <c r="J21" s="19" t="str">
        <f aca="false">IF(G21="","",IF(G21+H21=0,50,100*G21/(G21+H21)))</f>
        <v/>
      </c>
      <c r="K21" s="16" t="str">
        <f aca="false">IF(A21&lt;N_rsi+1,"",IF(A21=N_rsi+1,AVERAGE($E$9:E21),((N_rsi-1)*K20+E21)/N_rsi))</f>
        <v/>
      </c>
      <c r="L21" s="16" t="str">
        <f aca="false">IF(A21&lt;N_rsi+1,"",IF(A21=N_rsi+1,AVERAGE($F$9:F21),((N_rsi-1)*L20+F21)/N_rsi))</f>
        <v/>
      </c>
      <c r="M21" s="19" t="str">
        <f aca="false">IF(K21="","",IF(K21+L21=0,50,100*K21/(K21+L21)))</f>
        <v/>
      </c>
      <c r="N21" s="11" t="str">
        <f aca="false">IF(M21="","",IF(M21&gt;70,"Sobrecompra",IF(M21&lt;30,"Sobreventa","Equilibrio")))</f>
        <v/>
      </c>
    </row>
    <row r="22" customFormat="false" ht="15" hidden="false" customHeight="false" outlineLevel="0" collapsed="false">
      <c r="A22" s="11" t="n">
        <f aca="false">ROW()-8</f>
        <v>14</v>
      </c>
      <c r="B22" s="14" t="n">
        <f aca="false">Datos!A15</f>
        <v>45646</v>
      </c>
      <c r="C22" s="15" t="n">
        <f aca="false">Datos!B15</f>
        <v>164.42</v>
      </c>
      <c r="D22" s="19" t="n">
        <f aca="false">IF(A22=1,"",C22-C21)</f>
        <v>5.61999999999998</v>
      </c>
      <c r="E22" s="19" t="n">
        <f aca="false">IF(D22="","",MAX(D22,0))</f>
        <v>5.61999999999998</v>
      </c>
      <c r="F22" s="19" t="n">
        <f aca="false">IF(D22="","",MAX(-D22,0))</f>
        <v>0</v>
      </c>
      <c r="G22" s="16" t="str">
        <f aca="false">IF(A22&lt;N_rsi+1,"",AVERAGE(INDEX($E$9:$E$112,A22-N_rsi+1):E22))</f>
        <v/>
      </c>
      <c r="H22" s="16" t="str">
        <f aca="false">IF(A22&lt;N_rsi+1,"",AVERAGE(INDEX($F$9:$F$112,A22-N_rsi+1):F22))</f>
        <v/>
      </c>
      <c r="I22" s="16" t="str">
        <f aca="false">IF(G22="","",IF(H22=0,"sin pérdidas",G22/H22))</f>
        <v/>
      </c>
      <c r="J22" s="19" t="str">
        <f aca="false">IF(G22="","",IF(G22+H22=0,50,100*G22/(G22+H22)))</f>
        <v/>
      </c>
      <c r="K22" s="16" t="str">
        <f aca="false">IF(A22&lt;N_rsi+1,"",IF(A22=N_rsi+1,AVERAGE($E$9:E22),((N_rsi-1)*K21+E22)/N_rsi))</f>
        <v/>
      </c>
      <c r="L22" s="16" t="str">
        <f aca="false">IF(A22&lt;N_rsi+1,"",IF(A22=N_rsi+1,AVERAGE($F$9:F22),((N_rsi-1)*L21+F22)/N_rsi))</f>
        <v/>
      </c>
      <c r="M22" s="19" t="str">
        <f aca="false">IF(K22="","",IF(K22+L22=0,50,100*K22/(K22+L22)))</f>
        <v/>
      </c>
      <c r="N22" s="11" t="str">
        <f aca="false">IF(M22="","",IF(M22&gt;70,"Sobrecompra",IF(M22&lt;30,"Sobreventa","Equilibrio")))</f>
        <v/>
      </c>
    </row>
    <row r="23" customFormat="false" ht="15" hidden="false" customHeight="false" outlineLevel="0" collapsed="false">
      <c r="A23" s="11" t="n">
        <f aca="false">ROW()-8</f>
        <v>15</v>
      </c>
      <c r="B23" s="14" t="n">
        <f aca="false">Datos!A16</f>
        <v>45653</v>
      </c>
      <c r="C23" s="15" t="n">
        <f aca="false">Datos!B16</f>
        <v>155.24</v>
      </c>
      <c r="D23" s="19" t="n">
        <f aca="false">IF(A23=1,"",C23-C22)</f>
        <v>-9.17999999999998</v>
      </c>
      <c r="E23" s="19" t="n">
        <f aca="false">IF(D23="","",MAX(D23,0))</f>
        <v>0</v>
      </c>
      <c r="F23" s="19" t="n">
        <f aca="false">IF(D23="","",MAX(-D23,0))</f>
        <v>9.17999999999998</v>
      </c>
      <c r="G23" s="16" t="n">
        <f aca="false">IF(A23&lt;N_rsi+1,"",AVERAGE(INDEX($E$9:$E$112,A23-N_rsi+1):E23))</f>
        <v>1.49785714285714</v>
      </c>
      <c r="H23" s="16" t="n">
        <f aca="false">IF(A23&lt;N_rsi+1,"",AVERAGE(INDEX($F$9:$F$112,A23-N_rsi+1):F23))</f>
        <v>2.38928571428571</v>
      </c>
      <c r="I23" s="16" t="n">
        <f aca="false">IF(G23="","",IF(H23=0,"sin pérdidas",G23/H23))</f>
        <v>0.626905829596412</v>
      </c>
      <c r="J23" s="19" t="n">
        <f aca="false">IF(G23="","",IF(G23+H23=0,50,100*G23/(G23+H23)))</f>
        <v>38.5336273428886</v>
      </c>
      <c r="K23" s="16" t="n">
        <f aca="false">IF(A23&lt;N_rsi+1,"",IF(A23=N_rsi+1,AVERAGE($E$9:E23),((N_rsi-1)*K22+E23)/N_rsi))</f>
        <v>1.49785714285714</v>
      </c>
      <c r="L23" s="16" t="n">
        <f aca="false">IF(A23&lt;N_rsi+1,"",IF(A23=N_rsi+1,AVERAGE($F$9:F23),((N_rsi-1)*L22+F23)/N_rsi))</f>
        <v>2.38928571428571</v>
      </c>
      <c r="M23" s="19" t="n">
        <f aca="false">IF(K23="","",IF(K23+L23=0,50,100*K23/(K23+L23)))</f>
        <v>38.5336273428886</v>
      </c>
      <c r="N23" s="11" t="str">
        <f aca="false">IF(M23="","",IF(M23&gt;70,"Sobrecompra",IF(M23&lt;30,"Sobreventa","Equilibrio")))</f>
        <v>Equilibrio</v>
      </c>
    </row>
    <row r="24" customFormat="false" ht="15" hidden="false" customHeight="false" outlineLevel="0" collapsed="false">
      <c r="A24" s="11" t="n">
        <f aca="false">ROW()-8</f>
        <v>16</v>
      </c>
      <c r="B24" s="14" t="n">
        <f aca="false">Datos!A17</f>
        <v>45660</v>
      </c>
      <c r="C24" s="15" t="n">
        <f aca="false">Datos!B17</f>
        <v>150.86</v>
      </c>
      <c r="D24" s="19" t="n">
        <f aca="false">IF(A24=1,"",C24-C23)</f>
        <v>-4.38</v>
      </c>
      <c r="E24" s="19" t="n">
        <f aca="false">IF(D24="","",MAX(D24,0))</f>
        <v>0</v>
      </c>
      <c r="F24" s="19" t="n">
        <f aca="false">IF(D24="","",MAX(-D24,0))</f>
        <v>4.38</v>
      </c>
      <c r="G24" s="16" t="n">
        <f aca="false">IF(A24&lt;N_rsi+1,"",AVERAGE(INDEX($E$9:$E$112,A24-N_rsi+1):E24))</f>
        <v>1.17214285714286</v>
      </c>
      <c r="H24" s="16" t="n">
        <f aca="false">IF(A24&lt;N_rsi+1,"",AVERAGE(INDEX($F$9:$F$112,A24-N_rsi+1):F24))</f>
        <v>2.70214285714285</v>
      </c>
      <c r="I24" s="16" t="n">
        <f aca="false">IF(G24="","",IF(H24=0,"sin pérdidas",G24/H24))</f>
        <v>0.433782712133227</v>
      </c>
      <c r="J24" s="19" t="n">
        <f aca="false">IF(G24="","",IF(G24+H24=0,50,100*G24/(G24+H24)))</f>
        <v>30.2544247787611</v>
      </c>
      <c r="K24" s="16" t="n">
        <f aca="false">IF(A24&lt;N_rsi+1,"",IF(A24=N_rsi+1,AVERAGE($E$9:E24),((N_rsi-1)*K23+E24)/N_rsi))</f>
        <v>1.39086734693877</v>
      </c>
      <c r="L24" s="16" t="n">
        <f aca="false">IF(A24&lt;N_rsi+1,"",IF(A24=N_rsi+1,AVERAGE($F$9:F24),((N_rsi-1)*L23+F24)/N_rsi))</f>
        <v>2.53147959183673</v>
      </c>
      <c r="M24" s="19" t="n">
        <f aca="false">IF(K24="","",IF(K24+L24=0,50,100*K24/(K24+L24)))</f>
        <v>35.4600796066495</v>
      </c>
      <c r="N24" s="11" t="str">
        <f aca="false">IF(M24="","",IF(M24&gt;70,"Sobrecompra",IF(M24&lt;30,"Sobreventa","Equilibrio")))</f>
        <v>Equilibrio</v>
      </c>
    </row>
    <row r="25" customFormat="false" ht="15" hidden="false" customHeight="false" outlineLevel="0" collapsed="false">
      <c r="A25" s="11" t="n">
        <f aca="false">ROW()-8</f>
        <v>17</v>
      </c>
      <c r="B25" s="14" t="n">
        <f aca="false">Datos!A18</f>
        <v>45667</v>
      </c>
      <c r="C25" s="15" t="n">
        <f aca="false">Datos!B18</f>
        <v>151.3</v>
      </c>
      <c r="D25" s="19" t="n">
        <f aca="false">IF(A25=1,"",C25-C24)</f>
        <v>0.439999999999998</v>
      </c>
      <c r="E25" s="19" t="n">
        <f aca="false">IF(D25="","",MAX(D25,0))</f>
        <v>0.439999999999998</v>
      </c>
      <c r="F25" s="19" t="n">
        <f aca="false">IF(D25="","",MAX(-D25,0))</f>
        <v>0</v>
      </c>
      <c r="G25" s="16" t="n">
        <f aca="false">IF(A25&lt;N_rsi+1,"",AVERAGE(INDEX($E$9:$E$112,A25-N_rsi+1):E25))</f>
        <v>1.20357142857143</v>
      </c>
      <c r="H25" s="16" t="n">
        <f aca="false">IF(A25&lt;N_rsi+1,"",AVERAGE(INDEX($F$9:$F$112,A25-N_rsi+1):F25))</f>
        <v>2.38428571428571</v>
      </c>
      <c r="I25" s="16" t="n">
        <f aca="false">IF(G25="","",IF(H25=0,"sin pérdidas",G25/H25))</f>
        <v>0.504793289394847</v>
      </c>
      <c r="J25" s="19" t="n">
        <f aca="false">IF(G25="","",IF(G25+H25=0,50,100*G25/(G25+H25)))</f>
        <v>33.5456898267967</v>
      </c>
      <c r="K25" s="16" t="n">
        <f aca="false">IF(A25&lt;N_rsi+1,"",IF(A25=N_rsi+1,AVERAGE($E$9:E25),((N_rsi-1)*K24+E25)/N_rsi))</f>
        <v>1.32294825072886</v>
      </c>
      <c r="L25" s="16" t="n">
        <f aca="false">IF(A25&lt;N_rsi+1,"",IF(A25=N_rsi+1,AVERAGE($F$9:F25),((N_rsi-1)*L24+F25)/N_rsi))</f>
        <v>2.35065962099125</v>
      </c>
      <c r="M25" s="19" t="n">
        <f aca="false">IF(K25="","",IF(K25+L25=0,50,100*K25/(K25+L25)))</f>
        <v>36.0122336657943</v>
      </c>
      <c r="N25" s="11" t="str">
        <f aca="false">IF(M25="","",IF(M25&gt;70,"Sobrecompra",IF(M25&lt;30,"Sobreventa","Equilibrio")))</f>
        <v>Equilibrio</v>
      </c>
    </row>
    <row r="26" customFormat="false" ht="15" hidden="false" customHeight="false" outlineLevel="0" collapsed="false">
      <c r="A26" s="11" t="n">
        <f aca="false">ROW()-8</f>
        <v>18</v>
      </c>
      <c r="B26" s="14" t="n">
        <f aca="false">Datos!A19</f>
        <v>45674</v>
      </c>
      <c r="C26" s="15" t="n">
        <f aca="false">Datos!B19</f>
        <v>156.79</v>
      </c>
      <c r="D26" s="19" t="n">
        <f aca="false">IF(A26=1,"",C26-C25)</f>
        <v>5.48999999999998</v>
      </c>
      <c r="E26" s="19" t="n">
        <f aca="false">IF(D26="","",MAX(D26,0))</f>
        <v>5.48999999999998</v>
      </c>
      <c r="F26" s="19" t="n">
        <f aca="false">IF(D26="","",MAX(-D26,0))</f>
        <v>0</v>
      </c>
      <c r="G26" s="16" t="n">
        <f aca="false">IF(A26&lt;N_rsi+1,"",AVERAGE(INDEX($E$9:$E$112,A26-N_rsi+1):E26))</f>
        <v>1.59571428571428</v>
      </c>
      <c r="H26" s="16" t="n">
        <f aca="false">IF(A26&lt;N_rsi+1,"",AVERAGE(INDEX($F$9:$F$112,A26-N_rsi+1):F26))</f>
        <v>2.19714285714285</v>
      </c>
      <c r="I26" s="16" t="n">
        <f aca="false">IF(G26="","",IF(H26=0,"sin pérdidas",G26/H26))</f>
        <v>0.726267880364108</v>
      </c>
      <c r="J26" s="19" t="n">
        <f aca="false">IF(G26="","",IF(G26+H26=0,50,100*G26/(G26+H26)))</f>
        <v>42.0715630885122</v>
      </c>
      <c r="K26" s="16" t="n">
        <f aca="false">IF(A26&lt;N_rsi+1,"",IF(A26=N_rsi+1,AVERAGE($E$9:E26),((N_rsi-1)*K25+E26)/N_rsi))</f>
        <v>1.62059480424823</v>
      </c>
      <c r="L26" s="16" t="n">
        <f aca="false">IF(A26&lt;N_rsi+1,"",IF(A26=N_rsi+1,AVERAGE($F$9:F26),((N_rsi-1)*L25+F26)/N_rsi))</f>
        <v>2.18275536234902</v>
      </c>
      <c r="M26" s="19" t="n">
        <f aca="false">IF(K26="","",IF(K26+L26=0,50,100*K26/(K26+L26)))</f>
        <v>42.6096660381426</v>
      </c>
      <c r="N26" s="11" t="str">
        <f aca="false">IF(M26="","",IF(M26&gt;70,"Sobrecompra",IF(M26&lt;30,"Sobreventa","Equilibrio")))</f>
        <v>Equilibrio</v>
      </c>
    </row>
    <row r="27" customFormat="false" ht="15" hidden="false" customHeight="false" outlineLevel="0" collapsed="false">
      <c r="A27" s="11" t="n">
        <f aca="false">ROW()-8</f>
        <v>19</v>
      </c>
      <c r="B27" s="14" t="n">
        <f aca="false">Datos!A20</f>
        <v>45681</v>
      </c>
      <c r="C27" s="15" t="n">
        <f aca="false">Datos!B20</f>
        <v>157.19</v>
      </c>
      <c r="D27" s="19" t="n">
        <f aca="false">IF(A27=1,"",C27-C26)</f>
        <v>0.400000000000006</v>
      </c>
      <c r="E27" s="19" t="n">
        <f aca="false">IF(D27="","",MAX(D27,0))</f>
        <v>0.400000000000006</v>
      </c>
      <c r="F27" s="19" t="n">
        <f aca="false">IF(D27="","",MAX(-D27,0))</f>
        <v>0</v>
      </c>
      <c r="G27" s="16" t="n">
        <f aca="false">IF(A27&lt;N_rsi+1,"",AVERAGE(INDEX($E$9:$E$112,A27-N_rsi+1):E27))</f>
        <v>1.62428571428571</v>
      </c>
      <c r="H27" s="16" t="n">
        <f aca="false">IF(A27&lt;N_rsi+1,"",AVERAGE(INDEX($F$9:$F$112,A27-N_rsi+1):F27))</f>
        <v>2.02214285714285</v>
      </c>
      <c r="I27" s="16" t="n">
        <f aca="false">IF(G27="","",IF(H27=0,"sin pérdidas",G27/H27))</f>
        <v>0.803249735075945</v>
      </c>
      <c r="J27" s="19" t="n">
        <f aca="false">IF(G27="","",IF(G27+H27=0,50,100*G27/(G27+H27)))</f>
        <v>44.5445641527914</v>
      </c>
      <c r="K27" s="16" t="n">
        <f aca="false">IF(A27&lt;N_rsi+1,"",IF(A27=N_rsi+1,AVERAGE($E$9:E27),((N_rsi-1)*K26+E27)/N_rsi))</f>
        <v>1.53340946108764</v>
      </c>
      <c r="L27" s="16" t="n">
        <f aca="false">IF(A27&lt;N_rsi+1,"",IF(A27=N_rsi+1,AVERAGE($F$9:F27),((N_rsi-1)*L26+F27)/N_rsi))</f>
        <v>2.02684426503838</v>
      </c>
      <c r="M27" s="19" t="n">
        <f aca="false">IF(K27="","",IF(K27+L27=0,50,100*K27/(K27+L27)))</f>
        <v>43.0702297938797</v>
      </c>
      <c r="N27" s="11" t="str">
        <f aca="false">IF(M27="","",IF(M27&gt;70,"Sobrecompra",IF(M27&lt;30,"Sobreventa","Equilibrio")))</f>
        <v>Equilibrio</v>
      </c>
    </row>
    <row r="28" customFormat="false" ht="15" hidden="false" customHeight="false" outlineLevel="0" collapsed="false">
      <c r="A28" s="11" t="n">
        <f aca="false">ROW()-8</f>
        <v>20</v>
      </c>
      <c r="B28" s="14" t="n">
        <f aca="false">Datos!A21</f>
        <v>45688</v>
      </c>
      <c r="C28" s="15" t="n">
        <f aca="false">Datos!B21</f>
        <v>159.63</v>
      </c>
      <c r="D28" s="19" t="n">
        <f aca="false">IF(A28=1,"",C28-C27)</f>
        <v>2.44</v>
      </c>
      <c r="E28" s="19" t="n">
        <f aca="false">IF(D28="","",MAX(D28,0))</f>
        <v>2.44</v>
      </c>
      <c r="F28" s="19" t="n">
        <f aca="false">IF(D28="","",MAX(-D28,0))</f>
        <v>0</v>
      </c>
      <c r="G28" s="16" t="n">
        <f aca="false">IF(A28&lt;N_rsi+1,"",AVERAGE(INDEX($E$9:$E$112,A28-N_rsi+1):E28))</f>
        <v>1.62928571428571</v>
      </c>
      <c r="H28" s="16" t="n">
        <f aca="false">IF(A28&lt;N_rsi+1,"",AVERAGE(INDEX($F$9:$F$112,A28-N_rsi+1):F28))</f>
        <v>2.02214285714285</v>
      </c>
      <c r="I28" s="16" t="n">
        <f aca="false">IF(G28="","",IF(H28=0,"sin pérdidas",G28/H28))</f>
        <v>0.80572235959025</v>
      </c>
      <c r="J28" s="19" t="n">
        <f aca="false">IF(G28="","",IF(G28+H28=0,50,100*G28/(G28+H28)))</f>
        <v>44.6205007824726</v>
      </c>
      <c r="K28" s="16" t="n">
        <f aca="false">IF(A28&lt;N_rsi+1,"",IF(A28=N_rsi+1,AVERAGE($E$9:E28),((N_rsi-1)*K27+E28)/N_rsi))</f>
        <v>1.59816592815281</v>
      </c>
      <c r="L28" s="16" t="n">
        <f aca="false">IF(A28&lt;N_rsi+1,"",IF(A28=N_rsi+1,AVERAGE($F$9:F28),((N_rsi-1)*L27+F28)/N_rsi))</f>
        <v>1.88206967467849</v>
      </c>
      <c r="M28" s="19" t="n">
        <f aca="false">IF(K28="","",IF(K28+L28=0,50,100*K28/(K28+L28)))</f>
        <v>45.9211993249147</v>
      </c>
      <c r="N28" s="11" t="str">
        <f aca="false">IF(M28="","",IF(M28&gt;70,"Sobrecompra",IF(M28&lt;30,"Sobreventa","Equilibrio")))</f>
        <v>Equilibrio</v>
      </c>
    </row>
    <row r="29" customFormat="false" ht="15" hidden="false" customHeight="false" outlineLevel="0" collapsed="false">
      <c r="A29" s="11" t="n">
        <f aca="false">ROW()-8</f>
        <v>21</v>
      </c>
      <c r="B29" s="14" t="n">
        <f aca="false">Datos!A22</f>
        <v>45695</v>
      </c>
      <c r="C29" s="15" t="n">
        <f aca="false">Datos!B22</f>
        <v>161.06</v>
      </c>
      <c r="D29" s="19" t="n">
        <f aca="false">IF(A29=1,"",C29-C28)</f>
        <v>1.43000000000001</v>
      </c>
      <c r="E29" s="19" t="n">
        <f aca="false">IF(D29="","",MAX(D29,0))</f>
        <v>1.43000000000001</v>
      </c>
      <c r="F29" s="19" t="n">
        <f aca="false">IF(D29="","",MAX(-D29,0))</f>
        <v>0</v>
      </c>
      <c r="G29" s="16" t="n">
        <f aca="false">IF(A29&lt;N_rsi+1,"",AVERAGE(INDEX($E$9:$E$112,A29-N_rsi+1):E29))</f>
        <v>1.71571428571428</v>
      </c>
      <c r="H29" s="16" t="n">
        <f aca="false">IF(A29&lt;N_rsi+1,"",AVERAGE(INDEX($F$9:$F$112,A29-N_rsi+1):F29))</f>
        <v>2.02214285714285</v>
      </c>
      <c r="I29" s="16" t="n">
        <f aca="false">IF(G29="","",IF(H29=0,"sin pérdidas",G29/H29))</f>
        <v>0.848463440480396</v>
      </c>
      <c r="J29" s="19" t="n">
        <f aca="false">IF(G29="","",IF(G29+H29=0,50,100*G29/(G29+H29)))</f>
        <v>45.9010128033633</v>
      </c>
      <c r="K29" s="16" t="n">
        <f aca="false">IF(A29&lt;N_rsi+1,"",IF(A29=N_rsi+1,AVERAGE($E$9:E29),((N_rsi-1)*K28+E29)/N_rsi))</f>
        <v>1.58615407614189</v>
      </c>
      <c r="L29" s="16" t="n">
        <f aca="false">IF(A29&lt;N_rsi+1,"",IF(A29=N_rsi+1,AVERAGE($F$9:F29),((N_rsi-1)*L28+F29)/N_rsi))</f>
        <v>1.74763612648717</v>
      </c>
      <c r="M29" s="19" t="n">
        <f aca="false">IF(K29="","",IF(K29+L29=0,50,100*K29/(K29+L29)))</f>
        <v>47.5781011921817</v>
      </c>
      <c r="N29" s="11" t="str">
        <f aca="false">IF(M29="","",IF(M29&gt;70,"Sobrecompra",IF(M29&lt;30,"Sobreventa","Equilibrio")))</f>
        <v>Equilibrio</v>
      </c>
    </row>
    <row r="30" customFormat="false" ht="15" hidden="false" customHeight="false" outlineLevel="0" collapsed="false">
      <c r="A30" s="11" t="n">
        <f aca="false">ROW()-8</f>
        <v>22</v>
      </c>
      <c r="B30" s="14" t="n">
        <f aca="false">Datos!A23</f>
        <v>45702</v>
      </c>
      <c r="C30" s="15" t="n">
        <f aca="false">Datos!B23</f>
        <v>156.64</v>
      </c>
      <c r="D30" s="19" t="n">
        <f aca="false">IF(A30=1,"",C30-C29)</f>
        <v>-4.42000000000002</v>
      </c>
      <c r="E30" s="19" t="n">
        <f aca="false">IF(D30="","",MAX(D30,0))</f>
        <v>0</v>
      </c>
      <c r="F30" s="19" t="n">
        <f aca="false">IF(D30="","",MAX(-D30,0))</f>
        <v>4.42000000000002</v>
      </c>
      <c r="G30" s="16" t="n">
        <f aca="false">IF(A30&lt;N_rsi+1,"",AVERAGE(INDEX($E$9:$E$112,A30-N_rsi+1):E30))</f>
        <v>1.71571428571428</v>
      </c>
      <c r="H30" s="16" t="n">
        <f aca="false">IF(A30&lt;N_rsi+1,"",AVERAGE(INDEX($F$9:$F$112,A30-N_rsi+1):F30))</f>
        <v>2.08785714285714</v>
      </c>
      <c r="I30" s="16" t="n">
        <f aca="false">IF(G30="","",IF(H30=0,"sin pérdidas",G30/H30))</f>
        <v>0.821758467328087</v>
      </c>
      <c r="J30" s="19" t="n">
        <f aca="false">IF(G30="","",IF(G30+H30=0,50,100*G30/(G30+H30)))</f>
        <v>45.1079812206573</v>
      </c>
      <c r="K30" s="16" t="n">
        <f aca="false">IF(A30&lt;N_rsi+1,"",IF(A30=N_rsi+1,AVERAGE($E$9:E30),((N_rsi-1)*K29+E30)/N_rsi))</f>
        <v>1.47285735641747</v>
      </c>
      <c r="L30" s="16" t="n">
        <f aca="false">IF(A30&lt;N_rsi+1,"",IF(A30=N_rsi+1,AVERAGE($F$9:F30),((N_rsi-1)*L29+F30)/N_rsi))</f>
        <v>1.93851926030952</v>
      </c>
      <c r="M30" s="19" t="n">
        <f aca="false">IF(K30="","",IF(K30+L30=0,50,100*K30/(K30+L30)))</f>
        <v>43.1748681513386</v>
      </c>
      <c r="N30" s="11" t="str">
        <f aca="false">IF(M30="","",IF(M30&gt;70,"Sobrecompra",IF(M30&lt;30,"Sobreventa","Equilibrio")))</f>
        <v>Equilibrio</v>
      </c>
    </row>
    <row r="31" customFormat="false" ht="15" hidden="false" customHeight="false" outlineLevel="0" collapsed="false">
      <c r="A31" s="11" t="n">
        <f aca="false">ROW()-8</f>
        <v>23</v>
      </c>
      <c r="B31" s="14" t="n">
        <f aca="false">Datos!A24</f>
        <v>45709</v>
      </c>
      <c r="C31" s="15" t="n">
        <f aca="false">Datos!B24</f>
        <v>160.67</v>
      </c>
      <c r="D31" s="19" t="n">
        <f aca="false">IF(A31=1,"",C31-C30)</f>
        <v>4.03</v>
      </c>
      <c r="E31" s="19" t="n">
        <f aca="false">IF(D31="","",MAX(D31,0))</f>
        <v>4.03</v>
      </c>
      <c r="F31" s="19" t="n">
        <f aca="false">IF(D31="","",MAX(-D31,0))</f>
        <v>0</v>
      </c>
      <c r="G31" s="16" t="n">
        <f aca="false">IF(A31&lt;N_rsi+1,"",AVERAGE(INDEX($E$9:$E$112,A31-N_rsi+1):E31))</f>
        <v>1.74428571428571</v>
      </c>
      <c r="H31" s="16" t="n">
        <f aca="false">IF(A31&lt;N_rsi+1,"",AVERAGE(INDEX($F$9:$F$112,A31-N_rsi+1):F31))</f>
        <v>2.08785714285714</v>
      </c>
      <c r="I31" s="16" t="n">
        <f aca="false">IF(G31="","",IF(H31=0,"sin pérdidas",G31/H31))</f>
        <v>0.835443037974683</v>
      </c>
      <c r="J31" s="19" t="n">
        <f aca="false">IF(G31="","",IF(G31+H31=0,50,100*G31/(G31+H31)))</f>
        <v>45.5172413793103</v>
      </c>
      <c r="K31" s="16" t="n">
        <f aca="false">IF(A31&lt;N_rsi+1,"",IF(A31=N_rsi+1,AVERAGE($E$9:E31),((N_rsi-1)*K30+E31)/N_rsi))</f>
        <v>1.65551040238765</v>
      </c>
      <c r="L31" s="16" t="n">
        <f aca="false">IF(A31&lt;N_rsi+1,"",IF(A31=N_rsi+1,AVERAGE($F$9:F31),((N_rsi-1)*L30+F31)/N_rsi))</f>
        <v>1.80005359885884</v>
      </c>
      <c r="M31" s="19" t="n">
        <f aca="false">IF(K31="","",IF(K31+L31=0,50,100*K31/(K31+L31)))</f>
        <v>47.9085440695203</v>
      </c>
      <c r="N31" s="11" t="str">
        <f aca="false">IF(M31="","",IF(M31&gt;70,"Sobrecompra",IF(M31&lt;30,"Sobreventa","Equilibrio")))</f>
        <v>Equilibrio</v>
      </c>
    </row>
    <row r="32" customFormat="false" ht="15" hidden="false" customHeight="false" outlineLevel="0" collapsed="false">
      <c r="A32" s="11" t="n">
        <f aca="false">ROW()-8</f>
        <v>24</v>
      </c>
      <c r="B32" s="14" t="n">
        <f aca="false">Datos!A25</f>
        <v>45716</v>
      </c>
      <c r="C32" s="15" t="n">
        <f aca="false">Datos!B25</f>
        <v>162.66</v>
      </c>
      <c r="D32" s="19" t="n">
        <f aca="false">IF(A32=1,"",C32-C31)</f>
        <v>1.99000000000001</v>
      </c>
      <c r="E32" s="19" t="n">
        <f aca="false">IF(D32="","",MAX(D32,0))</f>
        <v>1.99000000000001</v>
      </c>
      <c r="F32" s="19" t="n">
        <f aca="false">IF(D32="","",MAX(-D32,0))</f>
        <v>0</v>
      </c>
      <c r="G32" s="16" t="n">
        <f aca="false">IF(A32&lt;N_rsi+1,"",AVERAGE(INDEX($E$9:$E$112,A32-N_rsi+1):E32))</f>
        <v>1.88642857142857</v>
      </c>
      <c r="H32" s="16" t="n">
        <f aca="false">IF(A32&lt;N_rsi+1,"",AVERAGE(INDEX($F$9:$F$112,A32-N_rsi+1):F32))</f>
        <v>1.85</v>
      </c>
      <c r="I32" s="16" t="n">
        <f aca="false">IF(G32="","",IF(H32=0,"sin pérdidas",G32/H32))</f>
        <v>1.01969111969112</v>
      </c>
      <c r="J32" s="19" t="n">
        <f aca="false">IF(G32="","",IF(G32+H32=0,50,100*G32/(G32+H32)))</f>
        <v>50.4874784935959</v>
      </c>
      <c r="K32" s="16" t="n">
        <f aca="false">IF(A32&lt;N_rsi+1,"",IF(A32=N_rsi+1,AVERAGE($E$9:E32),((N_rsi-1)*K31+E32)/N_rsi))</f>
        <v>1.67940251650282</v>
      </c>
      <c r="L32" s="16" t="n">
        <f aca="false">IF(A32&lt;N_rsi+1,"",IF(A32=N_rsi+1,AVERAGE($F$9:F32),((N_rsi-1)*L31+F32)/N_rsi))</f>
        <v>1.67147834179749</v>
      </c>
      <c r="M32" s="19" t="n">
        <f aca="false">IF(K32="","",IF(K32+L32=0,50,100*K32/(K32+L32)))</f>
        <v>50.1182401738591</v>
      </c>
      <c r="N32" s="11" t="str">
        <f aca="false">IF(M32="","",IF(M32&gt;70,"Sobrecompra",IF(M32&lt;30,"Sobreventa","Equilibrio")))</f>
        <v>Equilibrio</v>
      </c>
    </row>
    <row r="33" customFormat="false" ht="15" hidden="false" customHeight="false" outlineLevel="0" collapsed="false">
      <c r="A33" s="11" t="n">
        <f aca="false">ROW()-8</f>
        <v>25</v>
      </c>
      <c r="B33" s="14" t="n">
        <f aca="false">Datos!A26</f>
        <v>45723</v>
      </c>
      <c r="C33" s="15" t="n">
        <f aca="false">Datos!B26</f>
        <v>165.91</v>
      </c>
      <c r="D33" s="19" t="n">
        <f aca="false">IF(A33=1,"",C33-C32)</f>
        <v>3.25</v>
      </c>
      <c r="E33" s="19" t="n">
        <f aca="false">IF(D33="","",MAX(D33,0))</f>
        <v>3.25</v>
      </c>
      <c r="F33" s="19" t="n">
        <f aca="false">IF(D33="","",MAX(-D33,0))</f>
        <v>0</v>
      </c>
      <c r="G33" s="16" t="n">
        <f aca="false">IF(A33&lt;N_rsi+1,"",AVERAGE(INDEX($E$9:$E$112,A33-N_rsi+1):E33))</f>
        <v>1.79214285714286</v>
      </c>
      <c r="H33" s="16" t="n">
        <f aca="false">IF(A33&lt;N_rsi+1,"",AVERAGE(INDEX($F$9:$F$112,A33-N_rsi+1):F33))</f>
        <v>1.85</v>
      </c>
      <c r="I33" s="16" t="n">
        <f aca="false">IF(G33="","",IF(H33=0,"sin pérdidas",G33/H33))</f>
        <v>0.968725868725869</v>
      </c>
      <c r="J33" s="19" t="n">
        <f aca="false">IF(G33="","",IF(G33+H33=0,50,100*G33/(G33+H33)))</f>
        <v>49.2057266130614</v>
      </c>
      <c r="K33" s="16" t="n">
        <f aca="false">IF(A33&lt;N_rsi+1,"",IF(A33=N_rsi+1,AVERAGE($E$9:E33),((N_rsi-1)*K32+E33)/N_rsi))</f>
        <v>1.79158805103833</v>
      </c>
      <c r="L33" s="16" t="n">
        <f aca="false">IF(A33&lt;N_rsi+1,"",IF(A33=N_rsi+1,AVERAGE($F$9:F33),((N_rsi-1)*L32+F33)/N_rsi))</f>
        <v>1.5520870316691</v>
      </c>
      <c r="M33" s="19" t="n">
        <f aca="false">IF(K33="","",IF(K33+L33=0,50,100*K33/(K33+L33)))</f>
        <v>53.5814038960883</v>
      </c>
      <c r="N33" s="11" t="str">
        <f aca="false">IF(M33="","",IF(M33&gt;70,"Sobrecompra",IF(M33&lt;30,"Sobreventa","Equilibrio")))</f>
        <v>Equilibrio</v>
      </c>
    </row>
    <row r="34" customFormat="false" ht="15" hidden="false" customHeight="false" outlineLevel="0" collapsed="false">
      <c r="A34" s="11" t="n">
        <f aca="false">ROW()-8</f>
        <v>26</v>
      </c>
      <c r="B34" s="14" t="n">
        <f aca="false">Datos!A27</f>
        <v>45730</v>
      </c>
      <c r="C34" s="15" t="n">
        <f aca="false">Datos!B27</f>
        <v>171.62</v>
      </c>
      <c r="D34" s="19" t="n">
        <f aca="false">IF(A34=1,"",C34-C33)</f>
        <v>5.71000000000001</v>
      </c>
      <c r="E34" s="19" t="n">
        <f aca="false">IF(D34="","",MAX(D34,0))</f>
        <v>5.71000000000001</v>
      </c>
      <c r="F34" s="19" t="n">
        <f aca="false">IF(D34="","",MAX(-D34,0))</f>
        <v>0</v>
      </c>
      <c r="G34" s="16" t="n">
        <f aca="false">IF(A34&lt;N_rsi+1,"",AVERAGE(INDEX($E$9:$E$112,A34-N_rsi+1):E34))</f>
        <v>2.2</v>
      </c>
      <c r="H34" s="16" t="n">
        <f aca="false">IF(A34&lt;N_rsi+1,"",AVERAGE(INDEX($F$9:$F$112,A34-N_rsi+1):F34))</f>
        <v>1.53214285714286</v>
      </c>
      <c r="I34" s="16" t="n">
        <f aca="false">IF(G34="","",IF(H34=0,"sin pérdidas",G34/H34))</f>
        <v>1.43589743589744</v>
      </c>
      <c r="J34" s="19" t="n">
        <f aca="false">IF(G34="","",IF(G34+H34=0,50,100*G34/(G34+H34)))</f>
        <v>58.9473684210526</v>
      </c>
      <c r="K34" s="16" t="n">
        <f aca="false">IF(A34&lt;N_rsi+1,"",IF(A34=N_rsi+1,AVERAGE($E$9:E34),((N_rsi-1)*K33+E34)/N_rsi))</f>
        <v>2.07147461882131</v>
      </c>
      <c r="L34" s="16" t="n">
        <f aca="false">IF(A34&lt;N_rsi+1,"",IF(A34=N_rsi+1,AVERAGE($F$9:F34),((N_rsi-1)*L33+F34)/N_rsi))</f>
        <v>1.44122367226416</v>
      </c>
      <c r="M34" s="19" t="n">
        <f aca="false">IF(K34="","",IF(K34+L34=0,50,100*K34/(K34+L34)))</f>
        <v>58.9710372814625</v>
      </c>
      <c r="N34" s="11" t="str">
        <f aca="false">IF(M34="","",IF(M34&gt;70,"Sobrecompra",IF(M34&lt;30,"Sobreventa","Equilibrio")))</f>
        <v>Equilibrio</v>
      </c>
    </row>
    <row r="35" customFormat="false" ht="15" hidden="false" customHeight="false" outlineLevel="0" collapsed="false">
      <c r="A35" s="11" t="n">
        <f aca="false">ROW()-8</f>
        <v>27</v>
      </c>
      <c r="B35" s="14" t="n">
        <f aca="false">Datos!A28</f>
        <v>45737</v>
      </c>
      <c r="C35" s="15" t="n">
        <f aca="false">Datos!B28</f>
        <v>178.11</v>
      </c>
      <c r="D35" s="19" t="n">
        <f aca="false">IF(A35=1,"",C35-C34)</f>
        <v>6.49000000000001</v>
      </c>
      <c r="E35" s="19" t="n">
        <f aca="false">IF(D35="","",MAX(D35,0))</f>
        <v>6.49000000000001</v>
      </c>
      <c r="F35" s="19" t="n">
        <f aca="false">IF(D35="","",MAX(-D35,0))</f>
        <v>0</v>
      </c>
      <c r="G35" s="16" t="n">
        <f aca="false">IF(A35&lt;N_rsi+1,"",AVERAGE(INDEX($E$9:$E$112,A35-N_rsi+1):E35))</f>
        <v>2.66357142857143</v>
      </c>
      <c r="H35" s="16" t="n">
        <f aca="false">IF(A35&lt;N_rsi+1,"",AVERAGE(INDEX($F$9:$F$112,A35-N_rsi+1):F35))</f>
        <v>1.28428571428571</v>
      </c>
      <c r="I35" s="16" t="n">
        <f aca="false">IF(G35="","",IF(H35=0,"sin pérdidas",G35/H35))</f>
        <v>2.07397107897664</v>
      </c>
      <c r="J35" s="19" t="n">
        <f aca="false">IF(G35="","",IF(G35+H35=0,50,100*G35/(G35+H35)))</f>
        <v>67.4687895784332</v>
      </c>
      <c r="K35" s="16" t="n">
        <f aca="false">IF(A35&lt;N_rsi+1,"",IF(A35=N_rsi+1,AVERAGE($E$9:E35),((N_rsi-1)*K34+E35)/N_rsi))</f>
        <v>2.38708357461979</v>
      </c>
      <c r="L35" s="16" t="n">
        <f aca="false">IF(A35&lt;N_rsi+1,"",IF(A35=N_rsi+1,AVERAGE($F$9:F35),((N_rsi-1)*L34+F35)/N_rsi))</f>
        <v>1.33827912424529</v>
      </c>
      <c r="M35" s="19" t="n">
        <f aca="false">IF(K35="","",IF(K35+L35=0,50,100*K35/(K35+L35)))</f>
        <v>64.0765414692912</v>
      </c>
      <c r="N35" s="11" t="str">
        <f aca="false">IF(M35="","",IF(M35&gt;70,"Sobrecompra",IF(M35&lt;30,"Sobreventa","Equilibrio")))</f>
        <v>Equilibrio</v>
      </c>
    </row>
    <row r="36" customFormat="false" ht="15" hidden="false" customHeight="false" outlineLevel="0" collapsed="false">
      <c r="A36" s="11" t="n">
        <f aca="false">ROW()-8</f>
        <v>28</v>
      </c>
      <c r="B36" s="14" t="n">
        <f aca="false">Datos!A29</f>
        <v>45744</v>
      </c>
      <c r="C36" s="15" t="n">
        <f aca="false">Datos!B29</f>
        <v>177.68</v>
      </c>
      <c r="D36" s="19" t="n">
        <f aca="false">IF(A36=1,"",C36-C35)</f>
        <v>-0.430000000000007</v>
      </c>
      <c r="E36" s="19" t="n">
        <f aca="false">IF(D36="","",MAX(D36,0))</f>
        <v>0</v>
      </c>
      <c r="F36" s="19" t="n">
        <f aca="false">IF(D36="","",MAX(-D36,0))</f>
        <v>0.430000000000007</v>
      </c>
      <c r="G36" s="16" t="n">
        <f aca="false">IF(A36&lt;N_rsi+1,"",AVERAGE(INDEX($E$9:$E$112,A36-N_rsi+1):E36))</f>
        <v>2.26214285714286</v>
      </c>
      <c r="H36" s="16" t="n">
        <f aca="false">IF(A36&lt;N_rsi+1,"",AVERAGE(INDEX($F$9:$F$112,A36-N_rsi+1):F36))</f>
        <v>1.315</v>
      </c>
      <c r="I36" s="16" t="n">
        <f aca="false">IF(G36="","",IF(H36=0,"sin pérdidas",G36/H36))</f>
        <v>1.72026072786529</v>
      </c>
      <c r="J36" s="19" t="n">
        <f aca="false">IF(G36="","",IF(G36+H36=0,50,100*G36/(G36+H36)))</f>
        <v>63.2388178913738</v>
      </c>
      <c r="K36" s="16" t="n">
        <f aca="false">IF(A36&lt;N_rsi+1,"",IF(A36=N_rsi+1,AVERAGE($E$9:E36),((N_rsi-1)*K35+E36)/N_rsi))</f>
        <v>2.21657760500409</v>
      </c>
      <c r="L36" s="16" t="n">
        <f aca="false">IF(A36&lt;N_rsi+1,"",IF(A36=N_rsi+1,AVERAGE($F$9:F36),((N_rsi-1)*L35+F36)/N_rsi))</f>
        <v>1.27340204394206</v>
      </c>
      <c r="M36" s="19" t="n">
        <f aca="false">IF(K36="","",IF(K36+L36=0,50,100*K36/(K36+L36)))</f>
        <v>63.5126226502042</v>
      </c>
      <c r="N36" s="11" t="str">
        <f aca="false">IF(M36="","",IF(M36&gt;70,"Sobrecompra",IF(M36&lt;30,"Sobreventa","Equilibrio")))</f>
        <v>Equilibrio</v>
      </c>
    </row>
    <row r="37" customFormat="false" ht="15" hidden="false" customHeight="false" outlineLevel="0" collapsed="false">
      <c r="A37" s="11" t="n">
        <f aca="false">ROW()-8</f>
        <v>29</v>
      </c>
      <c r="B37" s="14" t="n">
        <f aca="false">Datos!A30</f>
        <v>45751</v>
      </c>
      <c r="C37" s="15" t="n">
        <f aca="false">Datos!B30</f>
        <v>174.15</v>
      </c>
      <c r="D37" s="19" t="n">
        <f aca="false">IF(A37=1,"",C37-C36)</f>
        <v>-3.53</v>
      </c>
      <c r="E37" s="19" t="n">
        <f aca="false">IF(D37="","",MAX(D37,0))</f>
        <v>0</v>
      </c>
      <c r="F37" s="19" t="n">
        <f aca="false">IF(D37="","",MAX(-D37,0))</f>
        <v>3.53</v>
      </c>
      <c r="G37" s="16" t="n">
        <f aca="false">IF(A37&lt;N_rsi+1,"",AVERAGE(INDEX($E$9:$E$112,A37-N_rsi+1):E37))</f>
        <v>2.26214285714286</v>
      </c>
      <c r="H37" s="16" t="n">
        <f aca="false">IF(A37&lt;N_rsi+1,"",AVERAGE(INDEX($F$9:$F$112,A37-N_rsi+1):F37))</f>
        <v>0.911428571428573</v>
      </c>
      <c r="I37" s="16" t="n">
        <f aca="false">IF(G37="","",IF(H37=0,"sin pérdidas",G37/H37))</f>
        <v>2.48197492163009</v>
      </c>
      <c r="J37" s="19" t="n">
        <f aca="false">IF(G37="","",IF(G37+H37=0,50,100*G37/(G37+H37)))</f>
        <v>71.2806662165203</v>
      </c>
      <c r="K37" s="16" t="n">
        <f aca="false">IF(A37&lt;N_rsi+1,"",IF(A37=N_rsi+1,AVERAGE($E$9:E37),((N_rsi-1)*K36+E37)/N_rsi))</f>
        <v>2.05825063321808</v>
      </c>
      <c r="L37" s="16" t="n">
        <f aca="false">IF(A37&lt;N_rsi+1,"",IF(A37=N_rsi+1,AVERAGE($F$9:F37),((N_rsi-1)*L36+F37)/N_rsi))</f>
        <v>1.43458761223191</v>
      </c>
      <c r="M37" s="19" t="n">
        <f aca="false">IF(K37="","",IF(K37+L37=0,50,100*K37/(K37+L37)))</f>
        <v>58.9277398087157</v>
      </c>
      <c r="N37" s="11" t="str">
        <f aca="false">IF(M37="","",IF(M37&gt;70,"Sobrecompra",IF(M37&lt;30,"Sobreventa","Equilibrio")))</f>
        <v>Equilibrio</v>
      </c>
    </row>
    <row r="38" customFormat="false" ht="15" hidden="false" customHeight="false" outlineLevel="0" collapsed="false">
      <c r="A38" s="11" t="n">
        <f aca="false">ROW()-8</f>
        <v>30</v>
      </c>
      <c r="B38" s="14" t="n">
        <f aca="false">Datos!A31</f>
        <v>45758</v>
      </c>
      <c r="C38" s="15" t="n">
        <f aca="false">Datos!B31</f>
        <v>187.27</v>
      </c>
      <c r="D38" s="19" t="n">
        <f aca="false">IF(A38=1,"",C38-C37)</f>
        <v>13.12</v>
      </c>
      <c r="E38" s="19" t="n">
        <f aca="false">IF(D38="","",MAX(D38,0))</f>
        <v>13.12</v>
      </c>
      <c r="F38" s="19" t="n">
        <f aca="false">IF(D38="","",MAX(-D38,0))</f>
        <v>0</v>
      </c>
      <c r="G38" s="16" t="n">
        <f aca="false">IF(A38&lt;N_rsi+1,"",AVERAGE(INDEX($E$9:$E$112,A38-N_rsi+1):E38))</f>
        <v>3.19928571428572</v>
      </c>
      <c r="H38" s="16" t="n">
        <f aca="false">IF(A38&lt;N_rsi+1,"",AVERAGE(INDEX($F$9:$F$112,A38-N_rsi+1):F38))</f>
        <v>0.59857142857143</v>
      </c>
      <c r="I38" s="16" t="n">
        <f aca="false">IF(G38="","",IF(H38=0,"sin pérdidas",G38/H38))</f>
        <v>5.34486873508352</v>
      </c>
      <c r="J38" s="19" t="n">
        <f aca="false">IF(G38="","",IF(G38+H38=0,50,100*G38/(G38+H38)))</f>
        <v>84.2392326499906</v>
      </c>
      <c r="K38" s="16" t="n">
        <f aca="false">IF(A38&lt;N_rsi+1,"",IF(A38=N_rsi+1,AVERAGE($E$9:E38),((N_rsi-1)*K37+E38)/N_rsi))</f>
        <v>2.84837558798822</v>
      </c>
      <c r="L38" s="16" t="n">
        <f aca="false">IF(A38&lt;N_rsi+1,"",IF(A38=N_rsi+1,AVERAGE($F$9:F38),((N_rsi-1)*L37+F38)/N_rsi))</f>
        <v>1.33211706850106</v>
      </c>
      <c r="M38" s="19" t="n">
        <f aca="false">IF(K38="","",IF(K38+L38=0,50,100*K38/(K38+L38)))</f>
        <v>68.1349262404935</v>
      </c>
      <c r="N38" s="11" t="str">
        <f aca="false">IF(M38="","",IF(M38&gt;70,"Sobrecompra",IF(M38&lt;30,"Sobreventa","Equilibrio")))</f>
        <v>Equilibrio</v>
      </c>
    </row>
    <row r="39" customFormat="false" ht="15" hidden="false" customHeight="false" outlineLevel="0" collapsed="false">
      <c r="A39" s="11" t="n">
        <f aca="false">ROW()-8</f>
        <v>31</v>
      </c>
      <c r="B39" s="14" t="n">
        <f aca="false">Datos!A32</f>
        <v>45765</v>
      </c>
      <c r="C39" s="15" t="n">
        <f aca="false">Datos!B32</f>
        <v>186.52</v>
      </c>
      <c r="D39" s="19" t="n">
        <f aca="false">IF(A39=1,"",C39-C38)</f>
        <v>-0.75</v>
      </c>
      <c r="E39" s="19" t="n">
        <f aca="false">IF(D39="","",MAX(D39,0))</f>
        <v>0</v>
      </c>
      <c r="F39" s="19" t="n">
        <f aca="false">IF(D39="","",MAX(-D39,0))</f>
        <v>0.75</v>
      </c>
      <c r="G39" s="16" t="n">
        <f aca="false">IF(A39&lt;N_rsi+1,"",AVERAGE(INDEX($E$9:$E$112,A39-N_rsi+1):E39))</f>
        <v>3.16785714285714</v>
      </c>
      <c r="H39" s="16" t="n">
        <f aca="false">IF(A39&lt;N_rsi+1,"",AVERAGE(INDEX($F$9:$F$112,A39-N_rsi+1):F39))</f>
        <v>0.652142857142859</v>
      </c>
      <c r="I39" s="16" t="n">
        <f aca="false">IF(G39="","",IF(H39=0,"sin pérdidas",G39/H39))</f>
        <v>4.85761226725081</v>
      </c>
      <c r="J39" s="19" t="n">
        <f aca="false">IF(G39="","",IF(G39+H39=0,50,100*G39/(G39+H39)))</f>
        <v>82.9281974569932</v>
      </c>
      <c r="K39" s="16" t="n">
        <f aca="false">IF(A39&lt;N_rsi+1,"",IF(A39=N_rsi+1,AVERAGE($E$9:E39),((N_rsi-1)*K38+E39)/N_rsi))</f>
        <v>2.64492018884621</v>
      </c>
      <c r="L39" s="16" t="n">
        <f aca="false">IF(A39&lt;N_rsi+1,"",IF(A39=N_rsi+1,AVERAGE($F$9:F39),((N_rsi-1)*L38+F39)/N_rsi))</f>
        <v>1.29053727789384</v>
      </c>
      <c r="M39" s="19" t="n">
        <f aca="false">IF(K39="","",IF(K39+L39=0,50,100*K39/(K39+L39)))</f>
        <v>67.2074393180302</v>
      </c>
      <c r="N39" s="11" t="str">
        <f aca="false">IF(M39="","",IF(M39&gt;70,"Sobrecompra",IF(M39&lt;30,"Sobreventa","Equilibrio")))</f>
        <v>Equilibrio</v>
      </c>
    </row>
    <row r="40" customFormat="false" ht="15" hidden="false" customHeight="false" outlineLevel="0" collapsed="false">
      <c r="A40" s="11" t="n">
        <f aca="false">ROW()-8</f>
        <v>32</v>
      </c>
      <c r="B40" s="14" t="n">
        <f aca="false">Datos!A33</f>
        <v>45772</v>
      </c>
      <c r="C40" s="15" t="n">
        <f aca="false">Datos!B33</f>
        <v>194.98</v>
      </c>
      <c r="D40" s="19" t="n">
        <f aca="false">IF(A40=1,"",C40-C39)</f>
        <v>8.45999999999998</v>
      </c>
      <c r="E40" s="19" t="n">
        <f aca="false">IF(D40="","",MAX(D40,0))</f>
        <v>8.45999999999998</v>
      </c>
      <c r="F40" s="19" t="n">
        <f aca="false">IF(D40="","",MAX(-D40,0))</f>
        <v>0</v>
      </c>
      <c r="G40" s="16" t="n">
        <f aca="false">IF(A40&lt;N_rsi+1,"",AVERAGE(INDEX($E$9:$E$112,A40-N_rsi+1):E40))</f>
        <v>3.38</v>
      </c>
      <c r="H40" s="16" t="n">
        <f aca="false">IF(A40&lt;N_rsi+1,"",AVERAGE(INDEX($F$9:$F$112,A40-N_rsi+1):F40))</f>
        <v>0.652142857142859</v>
      </c>
      <c r="I40" s="16" t="n">
        <f aca="false">IF(G40="","",IF(H40=0,"sin pérdidas",G40/H40))</f>
        <v>5.18291347207009</v>
      </c>
      <c r="J40" s="19" t="n">
        <f aca="false">IF(G40="","",IF(G40+H40=0,50,100*G40/(G40+H40)))</f>
        <v>83.8263950398583</v>
      </c>
      <c r="K40" s="16" t="n">
        <f aca="false">IF(A40&lt;N_rsi+1,"",IF(A40=N_rsi+1,AVERAGE($E$9:E40),((N_rsi-1)*K39+E40)/N_rsi))</f>
        <v>3.06028303250005</v>
      </c>
      <c r="L40" s="16" t="n">
        <f aca="false">IF(A40&lt;N_rsi+1,"",IF(A40=N_rsi+1,AVERAGE($F$9:F40),((N_rsi-1)*L39+F40)/N_rsi))</f>
        <v>1.19835604375857</v>
      </c>
      <c r="M40" s="19" t="n">
        <f aca="false">IF(K40="","",IF(K40+L40=0,50,100*K40/(K40+L40)))</f>
        <v>71.8605868612051</v>
      </c>
      <c r="N40" s="11" t="str">
        <f aca="false">IF(M40="","",IF(M40&gt;70,"Sobrecompra",IF(M40&lt;30,"Sobreventa","Equilibrio")))</f>
        <v>Sobrecompra</v>
      </c>
    </row>
    <row r="41" customFormat="false" ht="15" hidden="false" customHeight="false" outlineLevel="0" collapsed="false">
      <c r="A41" s="11" t="n">
        <f aca="false">ROW()-8</f>
        <v>33</v>
      </c>
      <c r="B41" s="14" t="n">
        <f aca="false">Datos!A34</f>
        <v>45779</v>
      </c>
      <c r="C41" s="15" t="n">
        <f aca="false">Datos!B34</f>
        <v>193.98</v>
      </c>
      <c r="D41" s="19" t="n">
        <f aca="false">IF(A41=1,"",C41-C40)</f>
        <v>-1</v>
      </c>
      <c r="E41" s="19" t="n">
        <f aca="false">IF(D41="","",MAX(D41,0))</f>
        <v>0</v>
      </c>
      <c r="F41" s="19" t="n">
        <f aca="false">IF(D41="","",MAX(-D41,0))</f>
        <v>1</v>
      </c>
      <c r="G41" s="16" t="n">
        <f aca="false">IF(A41&lt;N_rsi+1,"",AVERAGE(INDEX($E$9:$E$112,A41-N_rsi+1):E41))</f>
        <v>3.35142857142857</v>
      </c>
      <c r="H41" s="16" t="n">
        <f aca="false">IF(A41&lt;N_rsi+1,"",AVERAGE(INDEX($F$9:$F$112,A41-N_rsi+1):F41))</f>
        <v>0.72357142857143</v>
      </c>
      <c r="I41" s="16" t="n">
        <f aca="false">IF(G41="","",IF(H41=0,"sin pérdidas",G41/H41))</f>
        <v>4.63178677196445</v>
      </c>
      <c r="J41" s="19" t="n">
        <f aca="false">IF(G41="","",IF(G41+H41=0,50,100*G41/(G41+H41)))</f>
        <v>82.2436459246275</v>
      </c>
      <c r="K41" s="16" t="n">
        <f aca="false">IF(A41&lt;N_rsi+1,"",IF(A41=N_rsi+1,AVERAGE($E$9:E41),((N_rsi-1)*K40+E41)/N_rsi))</f>
        <v>2.84169138732147</v>
      </c>
      <c r="L41" s="16" t="n">
        <f aca="false">IF(A41&lt;N_rsi+1,"",IF(A41=N_rsi+1,AVERAGE($F$9:F41),((N_rsi-1)*L40+F41)/N_rsi))</f>
        <v>1.18418775491867</v>
      </c>
      <c r="M41" s="19" t="n">
        <f aca="false">IF(K41="","",IF(K41+L41=0,50,100*K41/(K41+L41)))</f>
        <v>70.5856109167811</v>
      </c>
      <c r="N41" s="11" t="str">
        <f aca="false">IF(M41="","",IF(M41&gt;70,"Sobrecompra",IF(M41&lt;30,"Sobreventa","Equilibrio")))</f>
        <v>Sobrecompra</v>
      </c>
    </row>
    <row r="42" customFormat="false" ht="15" hidden="false" customHeight="false" outlineLevel="0" collapsed="false">
      <c r="A42" s="11" t="n">
        <f aca="false">ROW()-8</f>
        <v>34</v>
      </c>
      <c r="B42" s="14" t="n">
        <f aca="false">Datos!A35</f>
        <v>45786</v>
      </c>
      <c r="C42" s="15" t="n">
        <f aca="false">Datos!B35</f>
        <v>195.92</v>
      </c>
      <c r="D42" s="19" t="n">
        <f aca="false">IF(A42=1,"",C42-C41)</f>
        <v>1.94</v>
      </c>
      <c r="E42" s="19" t="n">
        <f aca="false">IF(D42="","",MAX(D42,0))</f>
        <v>1.94</v>
      </c>
      <c r="F42" s="19" t="n">
        <f aca="false">IF(D42="","",MAX(-D42,0))</f>
        <v>0</v>
      </c>
      <c r="G42" s="16" t="n">
        <f aca="false">IF(A42&lt;N_rsi+1,"",AVERAGE(INDEX($E$9:$E$112,A42-N_rsi+1):E42))</f>
        <v>3.31571428571429</v>
      </c>
      <c r="H42" s="16" t="n">
        <f aca="false">IF(A42&lt;N_rsi+1,"",AVERAGE(INDEX($F$9:$F$112,A42-N_rsi+1):F42))</f>
        <v>0.72357142857143</v>
      </c>
      <c r="I42" s="16" t="n">
        <f aca="false">IF(G42="","",IF(H42=0,"sin pérdidas",G42/H42))</f>
        <v>4.58242843040473</v>
      </c>
      <c r="J42" s="19" t="n">
        <f aca="false">IF(G42="","",IF(G42+H42=0,50,100*G42/(G42+H42)))</f>
        <v>82.0866489832007</v>
      </c>
      <c r="K42" s="16" t="n">
        <f aca="false">IF(A42&lt;N_rsi+1,"",IF(A42=N_rsi+1,AVERAGE($E$9:E42),((N_rsi-1)*K41+E42)/N_rsi))</f>
        <v>2.77728485965565</v>
      </c>
      <c r="L42" s="16" t="n">
        <f aca="false">IF(A42&lt;N_rsi+1,"",IF(A42=N_rsi+1,AVERAGE($F$9:F42),((N_rsi-1)*L41+F42)/N_rsi))</f>
        <v>1.09960291528162</v>
      </c>
      <c r="M42" s="19" t="n">
        <f aca="false">IF(K42="","",IF(K42+L42=0,50,100*K42/(K42+L42)))</f>
        <v>71.6369681271103</v>
      </c>
      <c r="N42" s="11" t="str">
        <f aca="false">IF(M42="","",IF(M42&gt;70,"Sobrecompra",IF(M42&lt;30,"Sobreventa","Equilibrio")))</f>
        <v>Sobrecompra</v>
      </c>
    </row>
    <row r="43" customFormat="false" ht="15" hidden="false" customHeight="false" outlineLevel="0" collapsed="false">
      <c r="A43" s="11" t="n">
        <f aca="false">ROW()-8</f>
        <v>35</v>
      </c>
      <c r="B43" s="14" t="n">
        <f aca="false">Datos!A36</f>
        <v>45793</v>
      </c>
      <c r="C43" s="15" t="n">
        <f aca="false">Datos!B36</f>
        <v>198.99</v>
      </c>
      <c r="D43" s="19" t="n">
        <f aca="false">IF(A43=1,"",C43-C42)</f>
        <v>3.07000000000002</v>
      </c>
      <c r="E43" s="19" t="n">
        <f aca="false">IF(D43="","",MAX(D43,0))</f>
        <v>3.07000000000002</v>
      </c>
      <c r="F43" s="19" t="n">
        <f aca="false">IF(D43="","",MAX(-D43,0))</f>
        <v>0</v>
      </c>
      <c r="G43" s="16" t="n">
        <f aca="false">IF(A43&lt;N_rsi+1,"",AVERAGE(INDEX($E$9:$E$112,A43-N_rsi+1):E43))</f>
        <v>3.43285714285715</v>
      </c>
      <c r="H43" s="16" t="n">
        <f aca="false">IF(A43&lt;N_rsi+1,"",AVERAGE(INDEX($F$9:$F$112,A43-N_rsi+1):F43))</f>
        <v>0.72357142857143</v>
      </c>
      <c r="I43" s="16" t="n">
        <f aca="false">IF(G43="","",IF(H43=0,"sin pérdidas",G43/H43))</f>
        <v>4.74432379072062</v>
      </c>
      <c r="J43" s="19" t="n">
        <f aca="false">IF(G43="","",IF(G43+H43=0,50,100*G43/(G43+H43)))</f>
        <v>82.5915105688262</v>
      </c>
      <c r="K43" s="16" t="n">
        <f aca="false">IF(A43&lt;N_rsi+1,"",IF(A43=N_rsi+1,AVERAGE($E$9:E43),((N_rsi-1)*K42+E43)/N_rsi))</f>
        <v>2.79819308396597</v>
      </c>
      <c r="L43" s="16" t="n">
        <f aca="false">IF(A43&lt;N_rsi+1,"",IF(A43=N_rsi+1,AVERAGE($F$9:F43),((N_rsi-1)*L42+F43)/N_rsi))</f>
        <v>1.02105984990436</v>
      </c>
      <c r="M43" s="19" t="n">
        <f aca="false">IF(K43="","",IF(K43+L43=0,50,100*K43/(K43+L43)))</f>
        <v>73.2654561616151</v>
      </c>
      <c r="N43" s="11" t="str">
        <f aca="false">IF(M43="","",IF(M43&gt;70,"Sobrecompra",IF(M43&lt;30,"Sobreventa","Equilibrio")))</f>
        <v>Sobrecompra</v>
      </c>
    </row>
    <row r="44" customFormat="false" ht="15" hidden="false" customHeight="false" outlineLevel="0" collapsed="false">
      <c r="A44" s="11" t="n">
        <f aca="false">ROW()-8</f>
        <v>36</v>
      </c>
      <c r="B44" s="14" t="n">
        <f aca="false">Datos!A37</f>
        <v>45800</v>
      </c>
      <c r="C44" s="15" t="n">
        <f aca="false">Datos!B37</f>
        <v>200.94</v>
      </c>
      <c r="D44" s="19" t="n">
        <f aca="false">IF(A44=1,"",C44-C43)</f>
        <v>1.94999999999999</v>
      </c>
      <c r="E44" s="19" t="n">
        <f aca="false">IF(D44="","",MAX(D44,0))</f>
        <v>1.94999999999999</v>
      </c>
      <c r="F44" s="19" t="n">
        <f aca="false">IF(D44="","",MAX(-D44,0))</f>
        <v>0</v>
      </c>
      <c r="G44" s="16" t="n">
        <f aca="false">IF(A44&lt;N_rsi+1,"",AVERAGE(INDEX($E$9:$E$112,A44-N_rsi+1):E44))</f>
        <v>3.57214285714286</v>
      </c>
      <c r="H44" s="16" t="n">
        <f aca="false">IF(A44&lt;N_rsi+1,"",AVERAGE(INDEX($F$9:$F$112,A44-N_rsi+1):F44))</f>
        <v>0.407857142857143</v>
      </c>
      <c r="I44" s="16" t="n">
        <f aca="false">IF(G44="","",IF(H44=0,"sin pérdidas",G44/H44))</f>
        <v>8.75831873905428</v>
      </c>
      <c r="J44" s="19" t="n">
        <f aca="false">IF(G44="","",IF(G44+H44=0,50,100*G44/(G44+H44)))</f>
        <v>89.7523330940416</v>
      </c>
      <c r="K44" s="16" t="n">
        <f aca="false">IF(A44&lt;N_rsi+1,"",IF(A44=N_rsi+1,AVERAGE($E$9:E44),((N_rsi-1)*K43+E44)/N_rsi))</f>
        <v>2.73760786368268</v>
      </c>
      <c r="L44" s="16" t="n">
        <f aca="false">IF(A44&lt;N_rsi+1,"",IF(A44=N_rsi+1,AVERAGE($F$9:F44),((N_rsi-1)*L43+F44)/N_rsi))</f>
        <v>0.948127003482624</v>
      </c>
      <c r="M44" s="19" t="n">
        <f aca="false">IF(K44="","",IF(K44+L44=0,50,100*K44/(K44+L44)))</f>
        <v>74.2757675835802</v>
      </c>
      <c r="N44" s="11" t="str">
        <f aca="false">IF(M44="","",IF(M44&gt;70,"Sobrecompra",IF(M44&lt;30,"Sobreventa","Equilibrio")))</f>
        <v>Sobrecompra</v>
      </c>
    </row>
    <row r="45" customFormat="false" ht="15" hidden="false" customHeight="false" outlineLevel="0" collapsed="false">
      <c r="A45" s="11" t="n">
        <f aca="false">ROW()-8</f>
        <v>37</v>
      </c>
      <c r="B45" s="14" t="n">
        <f aca="false">Datos!A38</f>
        <v>45807</v>
      </c>
      <c r="C45" s="15" t="n">
        <f aca="false">Datos!B38</f>
        <v>208.2</v>
      </c>
      <c r="D45" s="19" t="n">
        <f aca="false">IF(A45=1,"",C45-C44)</f>
        <v>7.25999999999999</v>
      </c>
      <c r="E45" s="19" t="n">
        <f aca="false">IF(D45="","",MAX(D45,0))</f>
        <v>7.25999999999999</v>
      </c>
      <c r="F45" s="19" t="n">
        <f aca="false">IF(D45="","",MAX(-D45,0))</f>
        <v>0</v>
      </c>
      <c r="G45" s="16" t="n">
        <f aca="false">IF(A45&lt;N_rsi+1,"",AVERAGE(INDEX($E$9:$E$112,A45-N_rsi+1):E45))</f>
        <v>3.80285714285714</v>
      </c>
      <c r="H45" s="16" t="n">
        <f aca="false">IF(A45&lt;N_rsi+1,"",AVERAGE(INDEX($F$9:$F$112,A45-N_rsi+1):F45))</f>
        <v>0.407857142857143</v>
      </c>
      <c r="I45" s="16" t="n">
        <f aca="false">IF(G45="","",IF(H45=0,"sin pérdidas",G45/H45))</f>
        <v>9.32399299474605</v>
      </c>
      <c r="J45" s="19" t="n">
        <f aca="false">IF(G45="","",IF(G45+H45=0,50,100*G45/(G45+H45)))</f>
        <v>90.3138252756573</v>
      </c>
      <c r="K45" s="16" t="n">
        <f aca="false">IF(A45&lt;N_rsi+1,"",IF(A45=N_rsi+1,AVERAGE($E$9:E45),((N_rsi-1)*K44+E45)/N_rsi))</f>
        <v>3.06063587341963</v>
      </c>
      <c r="L45" s="16" t="n">
        <f aca="false">IF(A45&lt;N_rsi+1,"",IF(A45=N_rsi+1,AVERAGE($F$9:F45),((N_rsi-1)*L44+F45)/N_rsi))</f>
        <v>0.880403646091008</v>
      </c>
      <c r="M45" s="19" t="n">
        <f aca="false">IF(K45="","",IF(K45+L45=0,50,100*K45/(K45+L45)))</f>
        <v>77.6606237584664</v>
      </c>
      <c r="N45" s="11" t="str">
        <f aca="false">IF(M45="","",IF(M45&gt;70,"Sobrecompra",IF(M45&lt;30,"Sobreventa","Equilibrio")))</f>
        <v>Sobrecompra</v>
      </c>
    </row>
    <row r="46" customFormat="false" ht="15" hidden="false" customHeight="false" outlineLevel="0" collapsed="false">
      <c r="A46" s="11" t="n">
        <f aca="false">ROW()-8</f>
        <v>38</v>
      </c>
      <c r="B46" s="14" t="n">
        <f aca="false">Datos!A39</f>
        <v>45814</v>
      </c>
      <c r="C46" s="15" t="n">
        <f aca="false">Datos!B39</f>
        <v>202.26</v>
      </c>
      <c r="D46" s="19" t="n">
        <f aca="false">IF(A46=1,"",C46-C45)</f>
        <v>-5.94</v>
      </c>
      <c r="E46" s="19" t="n">
        <f aca="false">IF(D46="","",MAX(D46,0))</f>
        <v>0</v>
      </c>
      <c r="F46" s="19" t="n">
        <f aca="false">IF(D46="","",MAX(-D46,0))</f>
        <v>5.94</v>
      </c>
      <c r="G46" s="16" t="n">
        <f aca="false">IF(A46&lt;N_rsi+1,"",AVERAGE(INDEX($E$9:$E$112,A46-N_rsi+1):E46))</f>
        <v>3.66071428571429</v>
      </c>
      <c r="H46" s="16" t="n">
        <f aca="false">IF(A46&lt;N_rsi+1,"",AVERAGE(INDEX($F$9:$F$112,A46-N_rsi+1):F46))</f>
        <v>0.832142857142858</v>
      </c>
      <c r="I46" s="16" t="n">
        <f aca="false">IF(G46="","",IF(H46=0,"sin pérdidas",G46/H46))</f>
        <v>4.39914163090129</v>
      </c>
      <c r="J46" s="19" t="n">
        <f aca="false">IF(G46="","",IF(G46+H46=0,50,100*G46/(G46+H46)))</f>
        <v>81.4785373608903</v>
      </c>
      <c r="K46" s="16" t="n">
        <f aca="false">IF(A46&lt;N_rsi+1,"",IF(A46=N_rsi+1,AVERAGE($E$9:E46),((N_rsi-1)*K45+E46)/N_rsi))</f>
        <v>2.84201902531823</v>
      </c>
      <c r="L46" s="16" t="n">
        <f aca="false">IF(A46&lt;N_rsi+1,"",IF(A46=N_rsi+1,AVERAGE($F$9:F46),((N_rsi-1)*L45+F46)/N_rsi))</f>
        <v>1.24180338565594</v>
      </c>
      <c r="M46" s="19" t="n">
        <f aca="false">IF(K46="","",IF(K46+L46=0,50,100*K46/(K46+L46)))</f>
        <v>69.5921305902302</v>
      </c>
      <c r="N46" s="11" t="str">
        <f aca="false">IF(M46="","",IF(M46&gt;70,"Sobrecompra",IF(M46&lt;30,"Sobreventa","Equilibrio")))</f>
        <v>Equilibrio</v>
      </c>
    </row>
    <row r="47" customFormat="false" ht="15" hidden="false" customHeight="false" outlineLevel="0" collapsed="false">
      <c r="A47" s="11" t="n">
        <f aca="false">ROW()-8</f>
        <v>39</v>
      </c>
      <c r="B47" s="14" t="n">
        <f aca="false">Datos!A40</f>
        <v>45821</v>
      </c>
      <c r="C47" s="15" t="n">
        <f aca="false">Datos!B40</f>
        <v>206.99</v>
      </c>
      <c r="D47" s="19" t="n">
        <f aca="false">IF(A47=1,"",C47-C46)</f>
        <v>4.73000000000002</v>
      </c>
      <c r="E47" s="19" t="n">
        <f aca="false">IF(D47="","",MAX(D47,0))</f>
        <v>4.73000000000002</v>
      </c>
      <c r="F47" s="19" t="n">
        <f aca="false">IF(D47="","",MAX(-D47,0))</f>
        <v>0</v>
      </c>
      <c r="G47" s="16" t="n">
        <f aca="false">IF(A47&lt;N_rsi+1,"",AVERAGE(INDEX($E$9:$E$112,A47-N_rsi+1):E47))</f>
        <v>3.76642857142857</v>
      </c>
      <c r="H47" s="16" t="n">
        <f aca="false">IF(A47&lt;N_rsi+1,"",AVERAGE(INDEX($F$9:$F$112,A47-N_rsi+1):F47))</f>
        <v>0.832142857142858</v>
      </c>
      <c r="I47" s="16" t="n">
        <f aca="false">IF(G47="","",IF(H47=0,"sin pérdidas",G47/H47))</f>
        <v>4.52618025751073</v>
      </c>
      <c r="J47" s="19" t="n">
        <f aca="false">IF(G47="","",IF(G47+H47=0,50,100*G47/(G47+H47)))</f>
        <v>81.9043181112147</v>
      </c>
      <c r="K47" s="16" t="n">
        <f aca="false">IF(A47&lt;N_rsi+1,"",IF(A47=N_rsi+1,AVERAGE($E$9:E47),((N_rsi-1)*K46+E47)/N_rsi))</f>
        <v>2.97687480922407</v>
      </c>
      <c r="L47" s="16" t="n">
        <f aca="false">IF(A47&lt;N_rsi+1,"",IF(A47=N_rsi+1,AVERAGE($F$9:F47),((N_rsi-1)*L46+F47)/N_rsi))</f>
        <v>1.15310314382337</v>
      </c>
      <c r="M47" s="19" t="n">
        <f aca="false">IF(K47="","",IF(K47+L47=0,50,100*K47/(K47+L47)))</f>
        <v>72.0796779805443</v>
      </c>
      <c r="N47" s="11" t="str">
        <f aca="false">IF(M47="","",IF(M47&gt;70,"Sobrecompra",IF(M47&lt;30,"Sobreventa","Equilibrio")))</f>
        <v>Sobrecompra</v>
      </c>
    </row>
    <row r="48" customFormat="false" ht="15" hidden="false" customHeight="false" outlineLevel="0" collapsed="false">
      <c r="A48" s="11" t="n">
        <f aca="false">ROW()-8</f>
        <v>40</v>
      </c>
      <c r="B48" s="14" t="n">
        <f aca="false">Datos!A41</f>
        <v>45828</v>
      </c>
      <c r="C48" s="15" t="n">
        <f aca="false">Datos!B41</f>
        <v>208.88</v>
      </c>
      <c r="D48" s="19" t="n">
        <f aca="false">IF(A48=1,"",C48-C47)</f>
        <v>1.88999999999999</v>
      </c>
      <c r="E48" s="19" t="n">
        <f aca="false">IF(D48="","",MAX(D48,0))</f>
        <v>1.88999999999999</v>
      </c>
      <c r="F48" s="19" t="n">
        <f aca="false">IF(D48="","",MAX(-D48,0))</f>
        <v>0</v>
      </c>
      <c r="G48" s="16" t="n">
        <f aca="false">IF(A48&lt;N_rsi+1,"",AVERAGE(INDEX($E$9:$E$112,A48-N_rsi+1):E48))</f>
        <v>3.49357142857143</v>
      </c>
      <c r="H48" s="16" t="n">
        <f aca="false">IF(A48&lt;N_rsi+1,"",AVERAGE(INDEX($F$9:$F$112,A48-N_rsi+1):F48))</f>
        <v>0.832142857142858</v>
      </c>
      <c r="I48" s="16" t="n">
        <f aca="false">IF(G48="","",IF(H48=0,"sin pérdidas",G48/H48))</f>
        <v>4.19828326180257</v>
      </c>
      <c r="J48" s="19" t="n">
        <f aca="false">IF(G48="","",IF(G48+H48=0,50,100*G48/(G48+H48)))</f>
        <v>80.7628797886394</v>
      </c>
      <c r="K48" s="16" t="n">
        <f aca="false">IF(A48&lt;N_rsi+1,"",IF(A48=N_rsi+1,AVERAGE($E$9:E48),((N_rsi-1)*K47+E48)/N_rsi))</f>
        <v>2.89924089427949</v>
      </c>
      <c r="L48" s="16" t="n">
        <f aca="false">IF(A48&lt;N_rsi+1,"",IF(A48=N_rsi+1,AVERAGE($F$9:F48),((N_rsi-1)*L47+F48)/N_rsi))</f>
        <v>1.07073863355027</v>
      </c>
      <c r="M48" s="19" t="n">
        <f aca="false">IF(K48="","",IF(K48+L48=0,50,100*K48/(K48+L48)))</f>
        <v>73.0291144817162</v>
      </c>
      <c r="N48" s="11" t="str">
        <f aca="false">IF(M48="","",IF(M48&gt;70,"Sobrecompra",IF(M48&lt;30,"Sobreventa","Equilibrio")))</f>
        <v>Sobrecompra</v>
      </c>
    </row>
    <row r="49" customFormat="false" ht="15" hidden="false" customHeight="false" outlineLevel="0" collapsed="false">
      <c r="A49" s="11" t="n">
        <f aca="false">ROW()-8</f>
        <v>41</v>
      </c>
      <c r="B49" s="14" t="n">
        <f aca="false">Datos!A42</f>
        <v>45835</v>
      </c>
      <c r="C49" s="15" t="n">
        <f aca="false">Datos!B42</f>
        <v>210.21</v>
      </c>
      <c r="D49" s="19" t="n">
        <f aca="false">IF(A49=1,"",C49-C48)</f>
        <v>1.33000000000001</v>
      </c>
      <c r="E49" s="19" t="n">
        <f aca="false">IF(D49="","",MAX(D49,0))</f>
        <v>1.33000000000001</v>
      </c>
      <c r="F49" s="19" t="n">
        <f aca="false">IF(D49="","",MAX(-D49,0))</f>
        <v>0</v>
      </c>
      <c r="G49" s="16" t="n">
        <f aca="false">IF(A49&lt;N_rsi+1,"",AVERAGE(INDEX($E$9:$E$112,A49-N_rsi+1):E49))</f>
        <v>3.125</v>
      </c>
      <c r="H49" s="16" t="n">
        <f aca="false">IF(A49&lt;N_rsi+1,"",AVERAGE(INDEX($F$9:$F$112,A49-N_rsi+1):F49))</f>
        <v>0.832142857142858</v>
      </c>
      <c r="I49" s="16" t="n">
        <f aca="false">IF(G49="","",IF(H49=0,"sin pérdidas",G49/H49))</f>
        <v>3.75536480686695</v>
      </c>
      <c r="J49" s="19" t="n">
        <f aca="false">IF(G49="","",IF(G49+H49=0,50,100*G49/(G49+H49)))</f>
        <v>78.971119133574</v>
      </c>
      <c r="K49" s="16" t="n">
        <f aca="false">IF(A49&lt;N_rsi+1,"",IF(A49=N_rsi+1,AVERAGE($E$9:E49),((N_rsi-1)*K48+E49)/N_rsi))</f>
        <v>2.78715225897382</v>
      </c>
      <c r="L49" s="16" t="n">
        <f aca="false">IF(A49&lt;N_rsi+1,"",IF(A49=N_rsi+1,AVERAGE($F$9:F49),((N_rsi-1)*L48+F49)/N_rsi))</f>
        <v>0.994257302582395</v>
      </c>
      <c r="M49" s="19" t="n">
        <f aca="false">IF(K49="","",IF(K49+L49=0,50,100*K49/(K49+L49)))</f>
        <v>73.7067015249939</v>
      </c>
      <c r="N49" s="11" t="str">
        <f aca="false">IF(M49="","",IF(M49&gt;70,"Sobrecompra",IF(M49&lt;30,"Sobreventa","Equilibrio")))</f>
        <v>Sobrecompra</v>
      </c>
    </row>
    <row r="50" customFormat="false" ht="15" hidden="false" customHeight="false" outlineLevel="0" collapsed="false">
      <c r="A50" s="11" t="n">
        <f aca="false">ROW()-8</f>
        <v>42</v>
      </c>
      <c r="B50" s="14" t="n">
        <f aca="false">Datos!A43</f>
        <v>45842</v>
      </c>
      <c r="C50" s="15" t="n">
        <f aca="false">Datos!B43</f>
        <v>215.78</v>
      </c>
      <c r="D50" s="19" t="n">
        <f aca="false">IF(A50=1,"",C50-C49)</f>
        <v>5.56999999999999</v>
      </c>
      <c r="E50" s="19" t="n">
        <f aca="false">IF(D50="","",MAX(D50,0))</f>
        <v>5.56999999999999</v>
      </c>
      <c r="F50" s="19" t="n">
        <f aca="false">IF(D50="","",MAX(-D50,0))</f>
        <v>0</v>
      </c>
      <c r="G50" s="16" t="n">
        <f aca="false">IF(A50&lt;N_rsi+1,"",AVERAGE(INDEX($E$9:$E$112,A50-N_rsi+1):E50))</f>
        <v>3.52285714285714</v>
      </c>
      <c r="H50" s="16" t="n">
        <f aca="false">IF(A50&lt;N_rsi+1,"",AVERAGE(INDEX($F$9:$F$112,A50-N_rsi+1):F50))</f>
        <v>0.801428571428571</v>
      </c>
      <c r="I50" s="16" t="n">
        <f aca="false">IF(G50="","",IF(H50=0,"sin pérdidas",G50/H50))</f>
        <v>4.39572192513369</v>
      </c>
      <c r="J50" s="19" t="n">
        <f aca="false">IF(G50="","",IF(G50+H50=0,50,100*G50/(G50+H50)))</f>
        <v>81.4667988107037</v>
      </c>
      <c r="K50" s="16" t="n">
        <f aca="false">IF(A50&lt;N_rsi+1,"",IF(A50=N_rsi+1,AVERAGE($E$9:E50),((N_rsi-1)*K49+E50)/N_rsi))</f>
        <v>2.98592709761854</v>
      </c>
      <c r="L50" s="16" t="n">
        <f aca="false">IF(A50&lt;N_rsi+1,"",IF(A50=N_rsi+1,AVERAGE($F$9:F50),((N_rsi-1)*L49+F50)/N_rsi))</f>
        <v>0.92323892382651</v>
      </c>
      <c r="M50" s="19" t="n">
        <f aca="false">IF(K50="","",IF(K50+L50=0,50,100*K50/(K50+L50)))</f>
        <v>76.3827138893112</v>
      </c>
      <c r="N50" s="11" t="str">
        <f aca="false">IF(M50="","",IF(M50&gt;70,"Sobrecompra",IF(M50&lt;30,"Sobreventa","Equilibrio")))</f>
        <v>Sobrecompra</v>
      </c>
    </row>
    <row r="51" customFormat="false" ht="15" hidden="false" customHeight="false" outlineLevel="0" collapsed="false">
      <c r="A51" s="11" t="n">
        <f aca="false">ROW()-8</f>
        <v>43</v>
      </c>
      <c r="B51" s="14" t="n">
        <f aca="false">Datos!A44</f>
        <v>45849</v>
      </c>
      <c r="C51" s="15" t="n">
        <f aca="false">Datos!B44</f>
        <v>215.34</v>
      </c>
      <c r="D51" s="19" t="n">
        <f aca="false">IF(A51=1,"",C51-C50)</f>
        <v>-0.439999999999998</v>
      </c>
      <c r="E51" s="19" t="n">
        <f aca="false">IF(D51="","",MAX(D51,0))</f>
        <v>0</v>
      </c>
      <c r="F51" s="19" t="n">
        <f aca="false">IF(D51="","",MAX(-D51,0))</f>
        <v>0.439999999999998</v>
      </c>
      <c r="G51" s="16" t="n">
        <f aca="false">IF(A51&lt;N_rsi+1,"",AVERAGE(INDEX($E$9:$E$112,A51-N_rsi+1):E51))</f>
        <v>3.52285714285714</v>
      </c>
      <c r="H51" s="16" t="n">
        <f aca="false">IF(A51&lt;N_rsi+1,"",AVERAGE(INDEX($F$9:$F$112,A51-N_rsi+1):F51))</f>
        <v>0.580714285714285</v>
      </c>
      <c r="I51" s="16" t="n">
        <f aca="false">IF(G51="","",IF(H51=0,"sin pérdidas",G51/H51))</f>
        <v>6.06642066420664</v>
      </c>
      <c r="J51" s="19" t="n">
        <f aca="false">IF(G51="","",IF(G51+H51=0,50,100*G51/(G51+H51)))</f>
        <v>85.8485639686684</v>
      </c>
      <c r="K51" s="16" t="n">
        <f aca="false">IF(A51&lt;N_rsi+1,"",IF(A51=N_rsi+1,AVERAGE($E$9:E51),((N_rsi-1)*K50+E51)/N_rsi))</f>
        <v>2.77264659064579</v>
      </c>
      <c r="L51" s="16" t="n">
        <f aca="false">IF(A51&lt;N_rsi+1,"",IF(A51=N_rsi+1,AVERAGE($F$9:F51),((N_rsi-1)*L50+F51)/N_rsi))</f>
        <v>0.888721857838902</v>
      </c>
      <c r="M51" s="19" t="n">
        <f aca="false">IF(K51="","",IF(K51+L51=0,50,100*K51/(K51+L51)))</f>
        <v>75.7270575102401</v>
      </c>
      <c r="N51" s="11" t="str">
        <f aca="false">IF(M51="","",IF(M51&gt;70,"Sobrecompra",IF(M51&lt;30,"Sobreventa","Equilibrio")))</f>
        <v>Sobrecompra</v>
      </c>
    </row>
    <row r="52" customFormat="false" ht="15" hidden="false" customHeight="false" outlineLevel="0" collapsed="false">
      <c r="A52" s="11" t="n">
        <f aca="false">ROW()-8</f>
        <v>44</v>
      </c>
      <c r="B52" s="14" t="n">
        <f aca="false">Datos!A45</f>
        <v>45856</v>
      </c>
      <c r="C52" s="15" t="n">
        <f aca="false">Datos!B45</f>
        <v>208.66</v>
      </c>
      <c r="D52" s="19" t="n">
        <f aca="false">IF(A52=1,"",C52-C51)</f>
        <v>-6.68000000000001</v>
      </c>
      <c r="E52" s="19" t="n">
        <f aca="false">IF(D52="","",MAX(D52,0))</f>
        <v>0</v>
      </c>
      <c r="F52" s="19" t="n">
        <f aca="false">IF(D52="","",MAX(-D52,0))</f>
        <v>6.68000000000001</v>
      </c>
      <c r="G52" s="16" t="n">
        <f aca="false">IF(A52&lt;N_rsi+1,"",AVERAGE(INDEX($E$9:$E$112,A52-N_rsi+1):E52))</f>
        <v>2.58571428571429</v>
      </c>
      <c r="H52" s="16" t="n">
        <f aca="false">IF(A52&lt;N_rsi+1,"",AVERAGE(INDEX($F$9:$F$112,A52-N_rsi+1):F52))</f>
        <v>1.05785714285714</v>
      </c>
      <c r="I52" s="16" t="n">
        <f aca="false">IF(G52="","",IF(H52=0,"sin pérdidas",G52/H52))</f>
        <v>2.44429439567859</v>
      </c>
      <c r="J52" s="19" t="n">
        <f aca="false">IF(G52="","",IF(G52+H52=0,50,100*G52/(G52+H52)))</f>
        <v>70.9664771613409</v>
      </c>
      <c r="K52" s="16" t="n">
        <f aca="false">IF(A52&lt;N_rsi+1,"",IF(A52=N_rsi+1,AVERAGE($E$9:E52),((N_rsi-1)*K51+E52)/N_rsi))</f>
        <v>2.57460040559966</v>
      </c>
      <c r="L52" s="16" t="n">
        <f aca="false">IF(A52&lt;N_rsi+1,"",IF(A52=N_rsi+1,AVERAGE($F$9:F52),((N_rsi-1)*L51+F52)/N_rsi))</f>
        <v>1.30238458227898</v>
      </c>
      <c r="M52" s="19" t="n">
        <f aca="false">IF(K52="","",IF(K52+L52=0,50,100*K52/(K52+L52)))</f>
        <v>66.4072833309679</v>
      </c>
      <c r="N52" s="11" t="str">
        <f aca="false">IF(M52="","",IF(M52&gt;70,"Sobrecompra",IF(M52&lt;30,"Sobreventa","Equilibrio")))</f>
        <v>Equilibrio</v>
      </c>
    </row>
    <row r="53" customFormat="false" ht="15" hidden="false" customHeight="false" outlineLevel="0" collapsed="false">
      <c r="A53" s="11" t="n">
        <f aca="false">ROW()-8</f>
        <v>45</v>
      </c>
      <c r="B53" s="14" t="n">
        <f aca="false">Datos!A46</f>
        <v>45863</v>
      </c>
      <c r="C53" s="15" t="n">
        <f aca="false">Datos!B46</f>
        <v>206.67</v>
      </c>
      <c r="D53" s="19" t="n">
        <f aca="false">IF(A53=1,"",C53-C52)</f>
        <v>-1.99000000000001</v>
      </c>
      <c r="E53" s="19" t="n">
        <f aca="false">IF(D53="","",MAX(D53,0))</f>
        <v>0</v>
      </c>
      <c r="F53" s="19" t="n">
        <f aca="false">IF(D53="","",MAX(-D53,0))</f>
        <v>1.99000000000001</v>
      </c>
      <c r="G53" s="16" t="n">
        <f aca="false">IF(A53&lt;N_rsi+1,"",AVERAGE(INDEX($E$9:$E$112,A53-N_rsi+1):E53))</f>
        <v>2.58571428571429</v>
      </c>
      <c r="H53" s="16" t="n">
        <f aca="false">IF(A53&lt;N_rsi+1,"",AVERAGE(INDEX($F$9:$F$112,A53-N_rsi+1):F53))</f>
        <v>1.14642857142857</v>
      </c>
      <c r="I53" s="16" t="n">
        <f aca="false">IF(G53="","",IF(H53=0,"sin pérdidas",G53/H53))</f>
        <v>2.25545171339564</v>
      </c>
      <c r="J53" s="19" t="n">
        <f aca="false">IF(G53="","",IF(G53+H53=0,50,100*G53/(G53+H53)))</f>
        <v>69.2822966507177</v>
      </c>
      <c r="K53" s="16" t="n">
        <f aca="false">IF(A53&lt;N_rsi+1,"",IF(A53=N_rsi+1,AVERAGE($E$9:E53),((N_rsi-1)*K52+E53)/N_rsi))</f>
        <v>2.39070037662826</v>
      </c>
      <c r="L53" s="16" t="n">
        <f aca="false">IF(A53&lt;N_rsi+1,"",IF(A53=N_rsi+1,AVERAGE($F$9:F53),((N_rsi-1)*L52+F53)/N_rsi))</f>
        <v>1.35149996925905</v>
      </c>
      <c r="M53" s="19" t="n">
        <f aca="false">IF(K53="","",IF(K53+L53=0,50,100*K53/(K53+L53)))</f>
        <v>63.8848847110937</v>
      </c>
      <c r="N53" s="11" t="str">
        <f aca="false">IF(M53="","",IF(M53&gt;70,"Sobrecompra",IF(M53&lt;30,"Sobreventa","Equilibrio")))</f>
        <v>Equilibrio</v>
      </c>
    </row>
    <row r="54" customFormat="false" ht="15" hidden="false" customHeight="false" outlineLevel="0" collapsed="false">
      <c r="A54" s="11" t="n">
        <f aca="false">ROW()-8</f>
        <v>46</v>
      </c>
      <c r="B54" s="14" t="n">
        <f aca="false">Datos!A47</f>
        <v>45870</v>
      </c>
      <c r="C54" s="15" t="n">
        <f aca="false">Datos!B47</f>
        <v>208.54</v>
      </c>
      <c r="D54" s="19" t="n">
        <f aca="false">IF(A54=1,"",C54-C53)</f>
        <v>1.87</v>
      </c>
      <c r="E54" s="19" t="n">
        <f aca="false">IF(D54="","",MAX(D54,0))</f>
        <v>1.87</v>
      </c>
      <c r="F54" s="19" t="n">
        <f aca="false">IF(D54="","",MAX(-D54,0))</f>
        <v>0</v>
      </c>
      <c r="G54" s="16" t="n">
        <f aca="false">IF(A54&lt;N_rsi+1,"",AVERAGE(INDEX($E$9:$E$112,A54-N_rsi+1):E54))</f>
        <v>2.115</v>
      </c>
      <c r="H54" s="16" t="n">
        <f aca="false">IF(A54&lt;N_rsi+1,"",AVERAGE(INDEX($F$9:$F$112,A54-N_rsi+1):F54))</f>
        <v>1.14642857142857</v>
      </c>
      <c r="I54" s="16" t="n">
        <f aca="false">IF(G54="","",IF(H54=0,"sin pérdidas",G54/H54))</f>
        <v>1.84485981308411</v>
      </c>
      <c r="J54" s="19" t="n">
        <f aca="false">IF(G54="","",IF(G54+H54=0,50,100*G54/(G54+H54)))</f>
        <v>64.8488830486202</v>
      </c>
      <c r="K54" s="16" t="n">
        <f aca="false">IF(A54&lt;N_rsi+1,"",IF(A54=N_rsi+1,AVERAGE($E$9:E54),((N_rsi-1)*K53+E54)/N_rsi))</f>
        <v>2.35350749258338</v>
      </c>
      <c r="L54" s="16" t="n">
        <f aca="false">IF(A54&lt;N_rsi+1,"",IF(A54=N_rsi+1,AVERAGE($F$9:F54),((N_rsi-1)*L53+F54)/N_rsi))</f>
        <v>1.25496425716912</v>
      </c>
      <c r="M54" s="19" t="n">
        <f aca="false">IF(K54="","",IF(K54+L54=0,50,100*K54/(K54+L54)))</f>
        <v>65.221724203461</v>
      </c>
      <c r="N54" s="11" t="str">
        <f aca="false">IF(M54="","",IF(M54&gt;70,"Sobrecompra",IF(M54&lt;30,"Sobreventa","Equilibrio")))</f>
        <v>Equilibrio</v>
      </c>
    </row>
    <row r="55" customFormat="false" ht="15" hidden="false" customHeight="false" outlineLevel="0" collapsed="false">
      <c r="A55" s="11" t="n">
        <f aca="false">ROW()-8</f>
        <v>47</v>
      </c>
      <c r="B55" s="14" t="n">
        <f aca="false">Datos!A48</f>
        <v>45877</v>
      </c>
      <c r="C55" s="15" t="n">
        <f aca="false">Datos!B48</f>
        <v>212</v>
      </c>
      <c r="D55" s="19" t="n">
        <f aca="false">IF(A55=1,"",C55-C54)</f>
        <v>3.46000000000001</v>
      </c>
      <c r="E55" s="19" t="n">
        <f aca="false">IF(D55="","",MAX(D55,0))</f>
        <v>3.46000000000001</v>
      </c>
      <c r="F55" s="19" t="n">
        <f aca="false">IF(D55="","",MAX(-D55,0))</f>
        <v>0</v>
      </c>
      <c r="G55" s="16" t="n">
        <f aca="false">IF(A55&lt;N_rsi+1,"",AVERAGE(INDEX($E$9:$E$112,A55-N_rsi+1):E55))</f>
        <v>2.36214285714286</v>
      </c>
      <c r="H55" s="16" t="n">
        <f aca="false">IF(A55&lt;N_rsi+1,"",AVERAGE(INDEX($F$9:$F$112,A55-N_rsi+1):F55))</f>
        <v>1.075</v>
      </c>
      <c r="I55" s="16" t="n">
        <f aca="false">IF(G55="","",IF(H55=0,"sin pérdidas",G55/H55))</f>
        <v>2.19734219269103</v>
      </c>
      <c r="J55" s="19" t="n">
        <f aca="false">IF(G55="","",IF(G55+H55=0,50,100*G55/(G55+H55)))</f>
        <v>68.7240232751455</v>
      </c>
      <c r="K55" s="16" t="n">
        <f aca="false">IF(A55&lt;N_rsi+1,"",IF(A55=N_rsi+1,AVERAGE($E$9:E55),((N_rsi-1)*K54+E55)/N_rsi))</f>
        <v>2.43254267168457</v>
      </c>
      <c r="L55" s="16" t="n">
        <f aca="false">IF(A55&lt;N_rsi+1,"",IF(A55=N_rsi+1,AVERAGE($F$9:F55),((N_rsi-1)*L54+F55)/N_rsi))</f>
        <v>1.16532395308561</v>
      </c>
      <c r="M55" s="19" t="n">
        <f aca="false">IF(K55="","",IF(K55+L55=0,50,100*K55/(K55+L55)))</f>
        <v>67.6106961535838</v>
      </c>
      <c r="N55" s="11" t="str">
        <f aca="false">IF(M55="","",IF(M55&gt;70,"Sobrecompra",IF(M55&lt;30,"Sobreventa","Equilibrio")))</f>
        <v>Equilibrio</v>
      </c>
    </row>
    <row r="56" customFormat="false" ht="15" hidden="false" customHeight="false" outlineLevel="0" collapsed="false">
      <c r="A56" s="11" t="n">
        <f aca="false">ROW()-8</f>
        <v>48</v>
      </c>
      <c r="B56" s="14" t="n">
        <f aca="false">Datos!A49</f>
        <v>45884</v>
      </c>
      <c r="C56" s="15" t="n">
        <f aca="false">Datos!B49</f>
        <v>211.98</v>
      </c>
      <c r="D56" s="19" t="n">
        <f aca="false">IF(A56=1,"",C56-C55)</f>
        <v>-0.0200000000000102</v>
      </c>
      <c r="E56" s="19" t="n">
        <f aca="false">IF(D56="","",MAX(D56,0))</f>
        <v>0</v>
      </c>
      <c r="F56" s="19" t="n">
        <f aca="false">IF(D56="","",MAX(-D56,0))</f>
        <v>0.0200000000000102</v>
      </c>
      <c r="G56" s="16" t="n">
        <f aca="false">IF(A56&lt;N_rsi+1,"",AVERAGE(INDEX($E$9:$E$112,A56-N_rsi+1):E56))</f>
        <v>2.22357142857143</v>
      </c>
      <c r="H56" s="16" t="n">
        <f aca="false">IF(A56&lt;N_rsi+1,"",AVERAGE(INDEX($F$9:$F$112,A56-N_rsi+1):F56))</f>
        <v>1.07642857142857</v>
      </c>
      <c r="I56" s="16" t="n">
        <f aca="false">IF(G56="","",IF(H56=0,"sin pérdidas",G56/H56))</f>
        <v>2.06569343065693</v>
      </c>
      <c r="J56" s="19" t="n">
        <f aca="false">IF(G56="","",IF(G56+H56=0,50,100*G56/(G56+H56)))</f>
        <v>67.3809523809524</v>
      </c>
      <c r="K56" s="16" t="n">
        <f aca="false">IF(A56&lt;N_rsi+1,"",IF(A56=N_rsi+1,AVERAGE($E$9:E56),((N_rsi-1)*K55+E56)/N_rsi))</f>
        <v>2.2587896237071</v>
      </c>
      <c r="L56" s="16" t="n">
        <f aca="false">IF(A56&lt;N_rsi+1,"",IF(A56=N_rsi+1,AVERAGE($F$9:F56),((N_rsi-1)*L55+F56)/N_rsi))</f>
        <v>1.08351509929378</v>
      </c>
      <c r="M56" s="19" t="n">
        <f aca="false">IF(K56="","",IF(K56+L56=0,50,100*K56/(K56+L56)))</f>
        <v>67.5817979181458</v>
      </c>
      <c r="N56" s="11" t="str">
        <f aca="false">IF(M56="","",IF(M56&gt;70,"Sobrecompra",IF(M56&lt;30,"Sobreventa","Equilibrio")))</f>
        <v>Equilibrio</v>
      </c>
    </row>
    <row r="57" customFormat="false" ht="15" hidden="false" customHeight="false" outlineLevel="0" collapsed="false">
      <c r="A57" s="11" t="n">
        <f aca="false">ROW()-8</f>
        <v>49</v>
      </c>
      <c r="B57" s="14" t="n">
        <f aca="false">Datos!A50</f>
        <v>45891</v>
      </c>
      <c r="C57" s="15" t="n">
        <f aca="false">Datos!B50</f>
        <v>222</v>
      </c>
      <c r="D57" s="19" t="n">
        <f aca="false">IF(A57=1,"",C57-C56)</f>
        <v>10.02</v>
      </c>
      <c r="E57" s="19" t="n">
        <f aca="false">IF(D57="","",MAX(D57,0))</f>
        <v>10.02</v>
      </c>
      <c r="F57" s="19" t="n">
        <f aca="false">IF(D57="","",MAX(-D57,0))</f>
        <v>0</v>
      </c>
      <c r="G57" s="16" t="n">
        <f aca="false">IF(A57&lt;N_rsi+1,"",AVERAGE(INDEX($E$9:$E$112,A57-N_rsi+1):E57))</f>
        <v>2.72</v>
      </c>
      <c r="H57" s="16" t="n">
        <f aca="false">IF(A57&lt;N_rsi+1,"",AVERAGE(INDEX($F$9:$F$112,A57-N_rsi+1):F57))</f>
        <v>1.07642857142857</v>
      </c>
      <c r="I57" s="16" t="n">
        <f aca="false">IF(G57="","",IF(H57=0,"sin pérdidas",G57/H57))</f>
        <v>2.52687458526874</v>
      </c>
      <c r="J57" s="19" t="n">
        <f aca="false">IF(G57="","",IF(G57+H57=0,50,100*G57/(G57+H57)))</f>
        <v>71.6462841015992</v>
      </c>
      <c r="K57" s="16" t="n">
        <f aca="false">IF(A57&lt;N_rsi+1,"",IF(A57=N_rsi+1,AVERAGE($E$9:E57),((N_rsi-1)*K56+E57)/N_rsi))</f>
        <v>2.81316179344231</v>
      </c>
      <c r="L57" s="16" t="n">
        <f aca="false">IF(A57&lt;N_rsi+1,"",IF(A57=N_rsi+1,AVERAGE($F$9:F57),((N_rsi-1)*L56+F57)/N_rsi))</f>
        <v>1.00612116362994</v>
      </c>
      <c r="M57" s="19" t="n">
        <f aca="false">IF(K57="","",IF(K57+L57=0,50,100*K57/(K57+L57)))</f>
        <v>73.6568048259717</v>
      </c>
      <c r="N57" s="11" t="str">
        <f aca="false">IF(M57="","",IF(M57&gt;70,"Sobrecompra",IF(M57&lt;30,"Sobreventa","Equilibrio")))</f>
        <v>Sobrecompra</v>
      </c>
    </row>
    <row r="58" customFormat="false" ht="15" hidden="false" customHeight="false" outlineLevel="0" collapsed="false">
      <c r="A58" s="11" t="n">
        <f aca="false">ROW()-8</f>
        <v>50</v>
      </c>
      <c r="B58" s="14" t="n">
        <f aca="false">Datos!A51</f>
        <v>45898</v>
      </c>
      <c r="C58" s="15" t="n">
        <f aca="false">Datos!B51</f>
        <v>227.24</v>
      </c>
      <c r="D58" s="19" t="n">
        <f aca="false">IF(A58=1,"",C58-C57)</f>
        <v>5.24000000000001</v>
      </c>
      <c r="E58" s="19" t="n">
        <f aca="false">IF(D58="","",MAX(D58,0))</f>
        <v>5.24000000000001</v>
      </c>
      <c r="F58" s="19" t="n">
        <f aca="false">IF(D58="","",MAX(-D58,0))</f>
        <v>0</v>
      </c>
      <c r="G58" s="16" t="n">
        <f aca="false">IF(A58&lt;N_rsi+1,"",AVERAGE(INDEX($E$9:$E$112,A58-N_rsi+1):E58))</f>
        <v>2.955</v>
      </c>
      <c r="H58" s="16" t="n">
        <f aca="false">IF(A58&lt;N_rsi+1,"",AVERAGE(INDEX($F$9:$F$112,A58-N_rsi+1):F58))</f>
        <v>1.07642857142857</v>
      </c>
      <c r="I58" s="16" t="n">
        <f aca="false">IF(G58="","",IF(H58=0,"sin pérdidas",G58/H58))</f>
        <v>2.74518911745189</v>
      </c>
      <c r="J58" s="19" t="n">
        <f aca="false">IF(G58="","",IF(G58+H58=0,50,100*G58/(G58+H58)))</f>
        <v>73.2990786676116</v>
      </c>
      <c r="K58" s="16" t="n">
        <f aca="false">IF(A58&lt;N_rsi+1,"",IF(A58=N_rsi+1,AVERAGE($E$9:E58),((N_rsi-1)*K57+E58)/N_rsi))</f>
        <v>2.986507379625</v>
      </c>
      <c r="L58" s="16" t="n">
        <f aca="false">IF(A58&lt;N_rsi+1,"",IF(A58=N_rsi+1,AVERAGE($F$9:F58),((N_rsi-1)*L57+F58)/N_rsi))</f>
        <v>0.934255366227803</v>
      </c>
      <c r="M58" s="19" t="n">
        <f aca="false">IF(K58="","",IF(K58+L58=0,50,100*K58/(K58+L58)))</f>
        <v>76.1715914278156</v>
      </c>
      <c r="N58" s="11" t="str">
        <f aca="false">IF(M58="","",IF(M58&gt;70,"Sobrecompra",IF(M58&lt;30,"Sobreventa","Equilibrio")))</f>
        <v>Sobrecompra</v>
      </c>
    </row>
    <row r="59" customFormat="false" ht="15" hidden="false" customHeight="false" outlineLevel="0" collapsed="false">
      <c r="A59" s="11" t="n">
        <f aca="false">ROW()-8</f>
        <v>51</v>
      </c>
      <c r="B59" s="14" t="n">
        <f aca="false">Datos!A52</f>
        <v>45905</v>
      </c>
      <c r="C59" s="15" t="n">
        <f aca="false">Datos!B52</f>
        <v>220.26</v>
      </c>
      <c r="D59" s="19" t="n">
        <f aca="false">IF(A59=1,"",C59-C58)</f>
        <v>-6.98000000000002</v>
      </c>
      <c r="E59" s="19" t="n">
        <f aca="false">IF(D59="","",MAX(D59,0))</f>
        <v>0</v>
      </c>
      <c r="F59" s="19" t="n">
        <f aca="false">IF(D59="","",MAX(-D59,0))</f>
        <v>6.98000000000002</v>
      </c>
      <c r="G59" s="16" t="n">
        <f aca="false">IF(A59&lt;N_rsi+1,"",AVERAGE(INDEX($E$9:$E$112,A59-N_rsi+1):E59))</f>
        <v>2.43642857142857</v>
      </c>
      <c r="H59" s="16" t="n">
        <f aca="false">IF(A59&lt;N_rsi+1,"",AVERAGE(INDEX($F$9:$F$112,A59-N_rsi+1):F59))</f>
        <v>1.575</v>
      </c>
      <c r="I59" s="16" t="n">
        <f aca="false">IF(G59="","",IF(H59=0,"sin pérdidas",G59/H59))</f>
        <v>1.5469387755102</v>
      </c>
      <c r="J59" s="19" t="n">
        <f aca="false">IF(G59="","",IF(G59+H59=0,50,100*G59/(G59+H59)))</f>
        <v>60.7371794871795</v>
      </c>
      <c r="K59" s="16" t="n">
        <f aca="false">IF(A59&lt;N_rsi+1,"",IF(A59=N_rsi+1,AVERAGE($E$9:E59),((N_rsi-1)*K58+E59)/N_rsi))</f>
        <v>2.7731854239375</v>
      </c>
      <c r="L59" s="16" t="n">
        <f aca="false">IF(A59&lt;N_rsi+1,"",IF(A59=N_rsi+1,AVERAGE($F$9:F59),((N_rsi-1)*L58+F59)/N_rsi))</f>
        <v>1.3660942686401</v>
      </c>
      <c r="M59" s="19" t="n">
        <f aca="false">IF(K59="","",IF(K59+L59=0,50,100*K59/(K59+L59)))</f>
        <v>66.9968117619659</v>
      </c>
      <c r="N59" s="11" t="str">
        <f aca="false">IF(M59="","",IF(M59&gt;70,"Sobrecompra",IF(M59&lt;30,"Sobreventa","Equilibrio")))</f>
        <v>Equilibrio</v>
      </c>
    </row>
    <row r="60" customFormat="false" ht="15" hidden="false" customHeight="false" outlineLevel="0" collapsed="false">
      <c r="A60" s="11" t="n">
        <f aca="false">ROW()-8</f>
        <v>52</v>
      </c>
      <c r="B60" s="14" t="n">
        <f aca="false">Datos!A53</f>
        <v>45912</v>
      </c>
      <c r="C60" s="15" t="n">
        <f aca="false">Datos!B53</f>
        <v>218.31</v>
      </c>
      <c r="D60" s="19" t="n">
        <f aca="false">IF(A60=1,"",C60-C59)</f>
        <v>-1.94999999999999</v>
      </c>
      <c r="E60" s="19" t="n">
        <f aca="false">IF(D60="","",MAX(D60,0))</f>
        <v>0</v>
      </c>
      <c r="F60" s="19" t="n">
        <f aca="false">IF(D60="","",MAX(-D60,0))</f>
        <v>1.94999999999999</v>
      </c>
      <c r="G60" s="16" t="n">
        <f aca="false">IF(A60&lt;N_rsi+1,"",AVERAGE(INDEX($E$9:$E$112,A60-N_rsi+1):E60))</f>
        <v>2.43642857142857</v>
      </c>
      <c r="H60" s="16" t="n">
        <f aca="false">IF(A60&lt;N_rsi+1,"",AVERAGE(INDEX($F$9:$F$112,A60-N_rsi+1):F60))</f>
        <v>1.29</v>
      </c>
      <c r="I60" s="16" t="n">
        <f aca="false">IF(G60="","",IF(H60=0,"sin pérdidas",G60/H60))</f>
        <v>1.88870431893688</v>
      </c>
      <c r="J60" s="19" t="n">
        <f aca="false">IF(G60="","",IF(G60+H60=0,50,100*G60/(G60+H60)))</f>
        <v>65.382403680276</v>
      </c>
      <c r="K60" s="16" t="n">
        <f aca="false">IF(A60&lt;N_rsi+1,"",IF(A60=N_rsi+1,AVERAGE($E$9:E60),((N_rsi-1)*K59+E60)/N_rsi))</f>
        <v>2.57510075079911</v>
      </c>
      <c r="L60" s="16" t="n">
        <f aca="false">IF(A60&lt;N_rsi+1,"",IF(A60=N_rsi+1,AVERAGE($F$9:F60),((N_rsi-1)*L59+F60)/N_rsi))</f>
        <v>1.4078018208801</v>
      </c>
      <c r="M60" s="19" t="n">
        <f aca="false">IF(K60="","",IF(K60+L60=0,50,100*K60/(K60+L60)))</f>
        <v>64.6538725076932</v>
      </c>
      <c r="N60" s="11" t="str">
        <f aca="false">IF(M60="","",IF(M60&gt;70,"Sobrecompra",IF(M60&lt;30,"Sobreventa","Equilibrio")))</f>
        <v>Equilibrio</v>
      </c>
    </row>
    <row r="61" customFormat="false" ht="15" hidden="false" customHeight="false" outlineLevel="0" collapsed="false">
      <c r="A61" s="11" t="n">
        <f aca="false">ROW()-8</f>
        <v>53</v>
      </c>
      <c r="B61" s="14" t="n">
        <f aca="false">Datos!A54</f>
        <v>45919</v>
      </c>
      <c r="C61" s="15" t="n">
        <f aca="false">Datos!B54</f>
        <v>228.09</v>
      </c>
      <c r="D61" s="19" t="n">
        <f aca="false">IF(A61=1,"",C61-C60)</f>
        <v>9.78</v>
      </c>
      <c r="E61" s="19" t="n">
        <f aca="false">IF(D61="","",MAX(D61,0))</f>
        <v>9.78</v>
      </c>
      <c r="F61" s="19" t="n">
        <f aca="false">IF(D61="","",MAX(-D61,0))</f>
        <v>0</v>
      </c>
      <c r="G61" s="16" t="n">
        <f aca="false">IF(A61&lt;N_rsi+1,"",AVERAGE(INDEX($E$9:$E$112,A61-N_rsi+1):E61))</f>
        <v>2.79714285714286</v>
      </c>
      <c r="H61" s="16" t="n">
        <f aca="false">IF(A61&lt;N_rsi+1,"",AVERAGE(INDEX($F$9:$F$112,A61-N_rsi+1):F61))</f>
        <v>1.29</v>
      </c>
      <c r="I61" s="16" t="n">
        <f aca="false">IF(G61="","",IF(H61=0,"sin pérdidas",G61/H61))</f>
        <v>2.16832779623477</v>
      </c>
      <c r="J61" s="19" t="n">
        <f aca="false">IF(G61="","",IF(G61+H61=0,50,100*G61/(G61+H61)))</f>
        <v>68.4376092275428</v>
      </c>
      <c r="K61" s="16" t="n">
        <f aca="false">IF(A61&lt;N_rsi+1,"",IF(A61=N_rsi+1,AVERAGE($E$9:E61),((N_rsi-1)*K60+E61)/N_rsi))</f>
        <v>3.08973641145631</v>
      </c>
      <c r="L61" s="16" t="n">
        <f aca="false">IF(A61&lt;N_rsi+1,"",IF(A61=N_rsi+1,AVERAGE($F$9:F61),((N_rsi-1)*L60+F61)/N_rsi))</f>
        <v>1.30724454796009</v>
      </c>
      <c r="M61" s="19" t="n">
        <f aca="false">IF(K61="","",IF(K61+L61=0,50,100*K61/(K61+L61)))</f>
        <v>70.2694971839588</v>
      </c>
      <c r="N61" s="11" t="str">
        <f aca="false">IF(M61="","",IF(M61&gt;70,"Sobrecompra",IF(M61&lt;30,"Sobreventa","Equilibrio")))</f>
        <v>Sobrecompra</v>
      </c>
    </row>
    <row r="62" customFormat="false" ht="15" hidden="false" customHeight="false" outlineLevel="0" collapsed="false">
      <c r="A62" s="11" t="n">
        <f aca="false">ROW()-8</f>
        <v>54</v>
      </c>
      <c r="B62" s="14" t="n">
        <f aca="false">Datos!A55</f>
        <v>45926</v>
      </c>
      <c r="C62" s="15" t="n">
        <f aca="false">Datos!B55</f>
        <v>226.09</v>
      </c>
      <c r="D62" s="19" t="n">
        <f aca="false">IF(A62=1,"",C62-C61)</f>
        <v>-2</v>
      </c>
      <c r="E62" s="19" t="n">
        <f aca="false">IF(D62="","",MAX(D62,0))</f>
        <v>0</v>
      </c>
      <c r="F62" s="19" t="n">
        <f aca="false">IF(D62="","",MAX(-D62,0))</f>
        <v>2</v>
      </c>
      <c r="G62" s="16" t="n">
        <f aca="false">IF(A62&lt;N_rsi+1,"",AVERAGE(INDEX($E$9:$E$112,A62-N_rsi+1):E62))</f>
        <v>2.66214285714286</v>
      </c>
      <c r="H62" s="16" t="n">
        <f aca="false">IF(A62&lt;N_rsi+1,"",AVERAGE(INDEX($F$9:$F$112,A62-N_rsi+1):F62))</f>
        <v>1.43285714285715</v>
      </c>
      <c r="I62" s="16" t="n">
        <f aca="false">IF(G62="","",IF(H62=0,"sin pérdidas",G62/H62))</f>
        <v>1.85792622133599</v>
      </c>
      <c r="J62" s="19" t="n">
        <f aca="false">IF(G62="","",IF(G62+H62=0,50,100*G62/(G62+H62)))</f>
        <v>65.0095935810221</v>
      </c>
      <c r="K62" s="16" t="n">
        <f aca="false">IF(A62&lt;N_rsi+1,"",IF(A62=N_rsi+1,AVERAGE($E$9:E62),((N_rsi-1)*K61+E62)/N_rsi))</f>
        <v>2.86904095349515</v>
      </c>
      <c r="L62" s="16" t="n">
        <f aca="false">IF(A62&lt;N_rsi+1,"",IF(A62=N_rsi+1,AVERAGE($F$9:F62),((N_rsi-1)*L61+F62)/N_rsi))</f>
        <v>1.35672708024865</v>
      </c>
      <c r="M62" s="19" t="n">
        <f aca="false">IF(K62="","",IF(K62+L62=0,50,100*K62/(K62+L62)))</f>
        <v>67.8939527817227</v>
      </c>
      <c r="N62" s="11" t="str">
        <f aca="false">IF(M62="","",IF(M62&gt;70,"Sobrecompra",IF(M62&lt;30,"Sobreventa","Equilibrio")))</f>
        <v>Equilibrio</v>
      </c>
    </row>
    <row r="63" customFormat="false" ht="15" hidden="false" customHeight="false" outlineLevel="0" collapsed="false">
      <c r="A63" s="11" t="n">
        <f aca="false">ROW()-8</f>
        <v>55</v>
      </c>
      <c r="B63" s="14" t="n">
        <f aca="false">Datos!A56</f>
        <v>45933</v>
      </c>
      <c r="C63" s="15" t="n">
        <f aca="false">Datos!B56</f>
        <v>220.08</v>
      </c>
      <c r="D63" s="19" t="n">
        <f aca="false">IF(A63=1,"",C63-C62)</f>
        <v>-6.00999999999999</v>
      </c>
      <c r="E63" s="19" t="n">
        <f aca="false">IF(D63="","",MAX(D63,0))</f>
        <v>0</v>
      </c>
      <c r="F63" s="19" t="n">
        <f aca="false">IF(D63="","",MAX(-D63,0))</f>
        <v>6.00999999999999</v>
      </c>
      <c r="G63" s="16" t="n">
        <f aca="false">IF(A63&lt;N_rsi+1,"",AVERAGE(INDEX($E$9:$E$112,A63-N_rsi+1):E63))</f>
        <v>2.56714285714286</v>
      </c>
      <c r="H63" s="16" t="n">
        <f aca="false">IF(A63&lt;N_rsi+1,"",AVERAGE(INDEX($F$9:$F$112,A63-N_rsi+1):F63))</f>
        <v>1.86214285714286</v>
      </c>
      <c r="I63" s="16" t="n">
        <f aca="false">IF(G63="","",IF(H63=0,"sin pérdidas",G63/H63))</f>
        <v>1.37859608745685</v>
      </c>
      <c r="J63" s="19" t="n">
        <f aca="false">IF(G63="","",IF(G63+H63=0,50,100*G63/(G63+H63)))</f>
        <v>57.9583938074504</v>
      </c>
      <c r="K63" s="16" t="n">
        <f aca="false">IF(A63&lt;N_rsi+1,"",IF(A63=N_rsi+1,AVERAGE($E$9:E63),((N_rsi-1)*K62+E63)/N_rsi))</f>
        <v>2.66410945681692</v>
      </c>
      <c r="L63" s="16" t="n">
        <f aca="false">IF(A63&lt;N_rsi+1,"",IF(A63=N_rsi+1,AVERAGE($F$9:F63),((N_rsi-1)*L62+F63)/N_rsi))</f>
        <v>1.68910371737375</v>
      </c>
      <c r="M63" s="19" t="n">
        <f aca="false">IF(K63="","",IF(K63+L63=0,50,100*K63/(K63+L63)))</f>
        <v>61.1986904894043</v>
      </c>
      <c r="N63" s="11" t="str">
        <f aca="false">IF(M63="","",IF(M63&gt;70,"Sobrecompra",IF(M63&lt;30,"Sobreventa","Equilibrio")))</f>
        <v>Equilibrio</v>
      </c>
    </row>
    <row r="64" customFormat="false" ht="15" hidden="false" customHeight="false" outlineLevel="0" collapsed="false">
      <c r="A64" s="11" t="n">
        <f aca="false">ROW()-8</f>
        <v>56</v>
      </c>
      <c r="B64" s="14" t="n">
        <f aca="false">Datos!A57</f>
        <v>45940</v>
      </c>
      <c r="C64" s="15" t="n">
        <f aca="false">Datos!B57</f>
        <v>232.23</v>
      </c>
      <c r="D64" s="19" t="n">
        <f aca="false">IF(A64=1,"",C64-C63)</f>
        <v>12.15</v>
      </c>
      <c r="E64" s="19" t="n">
        <f aca="false">IF(D64="","",MAX(D64,0))</f>
        <v>12.15</v>
      </c>
      <c r="F64" s="19" t="n">
        <f aca="false">IF(D64="","",MAX(-D64,0))</f>
        <v>0</v>
      </c>
      <c r="G64" s="16" t="n">
        <f aca="false">IF(A64&lt;N_rsi+1,"",AVERAGE(INDEX($E$9:$E$112,A64-N_rsi+1):E64))</f>
        <v>3.03714285714286</v>
      </c>
      <c r="H64" s="16" t="n">
        <f aca="false">IF(A64&lt;N_rsi+1,"",AVERAGE(INDEX($F$9:$F$112,A64-N_rsi+1):F64))</f>
        <v>1.86214285714286</v>
      </c>
      <c r="I64" s="16" t="n">
        <f aca="false">IF(G64="","",IF(H64=0,"sin pérdidas",G64/H64))</f>
        <v>1.63099347909474</v>
      </c>
      <c r="J64" s="19" t="n">
        <f aca="false">IF(G64="","",IF(G64+H64=0,50,100*G64/(G64+H64)))</f>
        <v>61.991543956845</v>
      </c>
      <c r="K64" s="16" t="n">
        <f aca="false">IF(A64&lt;N_rsi+1,"",IF(A64=N_rsi+1,AVERAGE($E$9:E64),((N_rsi-1)*K63+E64)/N_rsi))</f>
        <v>3.34167306704429</v>
      </c>
      <c r="L64" s="16" t="n">
        <f aca="false">IF(A64&lt;N_rsi+1,"",IF(A64=N_rsi+1,AVERAGE($F$9:F64),((N_rsi-1)*L63+F64)/N_rsi))</f>
        <v>1.56845345184705</v>
      </c>
      <c r="M64" s="19" t="n">
        <f aca="false">IF(K64="","",IF(K64+L64=0,50,100*K64/(K64+L64)))</f>
        <v>68.0567609447018</v>
      </c>
      <c r="N64" s="11" t="str">
        <f aca="false">IF(M64="","",IF(M64&gt;70,"Sobrecompra",IF(M64&lt;30,"Sobreventa","Equilibrio")))</f>
        <v>Equilibrio</v>
      </c>
    </row>
    <row r="65" customFormat="false" ht="15" hidden="false" customHeight="false" outlineLevel="0" collapsed="false">
      <c r="A65" s="11" t="n">
        <f aca="false">ROW()-8</f>
        <v>57</v>
      </c>
      <c r="B65" s="14" t="n">
        <f aca="false">Datos!A58</f>
        <v>45947</v>
      </c>
      <c r="C65" s="15" t="n">
        <f aca="false">Datos!B58</f>
        <v>229.88</v>
      </c>
      <c r="D65" s="19" t="n">
        <f aca="false">IF(A65=1,"",C65-C64)</f>
        <v>-2.34999999999999</v>
      </c>
      <c r="E65" s="19" t="n">
        <f aca="false">IF(D65="","",MAX(D65,0))</f>
        <v>0</v>
      </c>
      <c r="F65" s="19" t="n">
        <f aca="false">IF(D65="","",MAX(-D65,0))</f>
        <v>2.34999999999999</v>
      </c>
      <c r="G65" s="16" t="n">
        <f aca="false">IF(A65&lt;N_rsi+1,"",AVERAGE(INDEX($E$9:$E$112,A65-N_rsi+1):E65))</f>
        <v>3.03714285714286</v>
      </c>
      <c r="H65" s="16" t="n">
        <f aca="false">IF(A65&lt;N_rsi+1,"",AVERAGE(INDEX($F$9:$F$112,A65-N_rsi+1):F65))</f>
        <v>1.99857142857143</v>
      </c>
      <c r="I65" s="16" t="n">
        <f aca="false">IF(G65="","",IF(H65=0,"sin pérdidas",G65/H65))</f>
        <v>1.51965689778413</v>
      </c>
      <c r="J65" s="19" t="n">
        <f aca="false">IF(G65="","",IF(G65+H65=0,50,100*G65/(G65+H65)))</f>
        <v>60.3120567375887</v>
      </c>
      <c r="K65" s="16" t="n">
        <f aca="false">IF(A65&lt;N_rsi+1,"",IF(A65=N_rsi+1,AVERAGE($E$9:E65),((N_rsi-1)*K64+E65)/N_rsi))</f>
        <v>3.10298213368398</v>
      </c>
      <c r="L65" s="16" t="n">
        <f aca="false">IF(A65&lt;N_rsi+1,"",IF(A65=N_rsi+1,AVERAGE($F$9:F65),((N_rsi-1)*L64+F65)/N_rsi))</f>
        <v>1.62427820528655</v>
      </c>
      <c r="M65" s="19" t="n">
        <f aca="false">IF(K65="","",IF(K65+L65=0,50,100*K65/(K65+L65)))</f>
        <v>65.6401786908932</v>
      </c>
      <c r="N65" s="11" t="str">
        <f aca="false">IF(M65="","",IF(M65&gt;70,"Sobrecompra",IF(M65&lt;30,"Sobreventa","Equilibrio")))</f>
        <v>Equilibrio</v>
      </c>
    </row>
    <row r="66" customFormat="false" ht="15" hidden="false" customHeight="false" outlineLevel="0" collapsed="false">
      <c r="A66" s="11" t="n">
        <f aca="false">ROW()-8</f>
        <v>58</v>
      </c>
      <c r="B66" s="14" t="n">
        <f aca="false">Datos!A59</f>
        <v>45954</v>
      </c>
      <c r="C66" s="15" t="n">
        <f aca="false">Datos!B59</f>
        <v>229.64</v>
      </c>
      <c r="D66" s="19" t="n">
        <f aca="false">IF(A66=1,"",C66-C65)</f>
        <v>-0.240000000000009</v>
      </c>
      <c r="E66" s="19" t="n">
        <f aca="false">IF(D66="","",MAX(D66,0))</f>
        <v>0</v>
      </c>
      <c r="F66" s="19" t="n">
        <f aca="false">IF(D66="","",MAX(-D66,0))</f>
        <v>0.240000000000009</v>
      </c>
      <c r="G66" s="16" t="n">
        <f aca="false">IF(A66&lt;N_rsi+1,"",AVERAGE(INDEX($E$9:$E$112,A66-N_rsi+1):E66))</f>
        <v>3.03714285714286</v>
      </c>
      <c r="H66" s="16" t="n">
        <f aca="false">IF(A66&lt;N_rsi+1,"",AVERAGE(INDEX($F$9:$F$112,A66-N_rsi+1):F66))</f>
        <v>1.53857142857143</v>
      </c>
      <c r="I66" s="16" t="n">
        <f aca="false">IF(G66="","",IF(H66=0,"sin pérdidas",G66/H66))</f>
        <v>1.97400185701021</v>
      </c>
      <c r="J66" s="19" t="n">
        <f aca="false">IF(G66="","",IF(G66+H66=0,50,100*G66/(G66+H66)))</f>
        <v>66.3752731813924</v>
      </c>
      <c r="K66" s="16" t="n">
        <f aca="false">IF(A66&lt;N_rsi+1,"",IF(A66=N_rsi+1,AVERAGE($E$9:E66),((N_rsi-1)*K65+E66)/N_rsi))</f>
        <v>2.88134055270655</v>
      </c>
      <c r="L66" s="16" t="n">
        <f aca="false">IF(A66&lt;N_rsi+1,"",IF(A66=N_rsi+1,AVERAGE($F$9:F66),((N_rsi-1)*L65+F66)/N_rsi))</f>
        <v>1.52540119062322</v>
      </c>
      <c r="M66" s="19" t="n">
        <f aca="false">IF(K66="","",IF(K66+L66=0,50,100*K66/(K66+L66)))</f>
        <v>65.3848289854486</v>
      </c>
      <c r="N66" s="11" t="str">
        <f aca="false">IF(M66="","",IF(M66&gt;70,"Sobrecompra",IF(M66&lt;30,"Sobreventa","Equilibrio")))</f>
        <v>Equilibrio</v>
      </c>
    </row>
    <row r="67" customFormat="false" ht="15" hidden="false" customHeight="false" outlineLevel="0" collapsed="false">
      <c r="A67" s="11" t="n">
        <f aca="false">ROW()-8</f>
        <v>59</v>
      </c>
      <c r="B67" s="14" t="n">
        <f aca="false">Datos!A60</f>
        <v>45961</v>
      </c>
      <c r="C67" s="15" t="n">
        <f aca="false">Datos!B60</f>
        <v>234.24</v>
      </c>
      <c r="D67" s="19" t="n">
        <f aca="false">IF(A67=1,"",C67-C66)</f>
        <v>4.60000000000002</v>
      </c>
      <c r="E67" s="19" t="n">
        <f aca="false">IF(D67="","",MAX(D67,0))</f>
        <v>4.60000000000002</v>
      </c>
      <c r="F67" s="19" t="n">
        <f aca="false">IF(D67="","",MAX(-D67,0))</f>
        <v>0</v>
      </c>
      <c r="G67" s="16" t="n">
        <f aca="false">IF(A67&lt;N_rsi+1,"",AVERAGE(INDEX($E$9:$E$112,A67-N_rsi+1):E67))</f>
        <v>3.36571428571429</v>
      </c>
      <c r="H67" s="16" t="n">
        <f aca="false">IF(A67&lt;N_rsi+1,"",AVERAGE(INDEX($F$9:$F$112,A67-N_rsi+1):F67))</f>
        <v>1.39642857142857</v>
      </c>
      <c r="I67" s="16" t="n">
        <f aca="false">IF(G67="","",IF(H67=0,"sin pérdidas",G67/H67))</f>
        <v>2.41023017902813</v>
      </c>
      <c r="J67" s="19" t="n">
        <f aca="false">IF(G67="","",IF(G67+H67=0,50,100*G67/(G67+H67)))</f>
        <v>70.6764661766912</v>
      </c>
      <c r="K67" s="16" t="n">
        <f aca="false">IF(A67&lt;N_rsi+1,"",IF(A67=N_rsi+1,AVERAGE($E$9:E67),((N_rsi-1)*K66+E67)/N_rsi))</f>
        <v>3.00410194179894</v>
      </c>
      <c r="L67" s="16" t="n">
        <f aca="false">IF(A67&lt;N_rsi+1,"",IF(A67=N_rsi+1,AVERAGE($F$9:F67),((N_rsi-1)*L66+F67)/N_rsi))</f>
        <v>1.41644396272157</v>
      </c>
      <c r="M67" s="19" t="n">
        <f aca="false">IF(K67="","",IF(K67+L67=0,50,100*K67/(K67+L67)))</f>
        <v>67.957713972089</v>
      </c>
      <c r="N67" s="11" t="str">
        <f aca="false">IF(M67="","",IF(M67&gt;70,"Sobrecompra",IF(M67&lt;30,"Sobreventa","Equilibrio")))</f>
        <v>Equilibrio</v>
      </c>
    </row>
    <row r="68" customFormat="false" ht="15" hidden="false" customHeight="false" outlineLevel="0" collapsed="false">
      <c r="A68" s="11" t="n">
        <f aca="false">ROW()-8</f>
        <v>60</v>
      </c>
      <c r="B68" s="14" t="n">
        <f aca="false">Datos!A61</f>
        <v>45968</v>
      </c>
      <c r="C68" s="15" t="n">
        <f aca="false">Datos!B61</f>
        <v>228.93</v>
      </c>
      <c r="D68" s="19" t="n">
        <f aca="false">IF(A68=1,"",C68-C67)</f>
        <v>-5.31</v>
      </c>
      <c r="E68" s="19" t="n">
        <f aca="false">IF(D68="","",MAX(D68,0))</f>
        <v>0</v>
      </c>
      <c r="F68" s="19" t="n">
        <f aca="false">IF(D68="","",MAX(-D68,0))</f>
        <v>5.31</v>
      </c>
      <c r="G68" s="16" t="n">
        <f aca="false">IF(A68&lt;N_rsi+1,"",AVERAGE(INDEX($E$9:$E$112,A68-N_rsi+1):E68))</f>
        <v>3.23214285714286</v>
      </c>
      <c r="H68" s="16" t="n">
        <f aca="false">IF(A68&lt;N_rsi+1,"",AVERAGE(INDEX($F$9:$F$112,A68-N_rsi+1):F68))</f>
        <v>1.77571428571429</v>
      </c>
      <c r="I68" s="16" t="n">
        <f aca="false">IF(G68="","",IF(H68=0,"sin pérdidas",G68/H68))</f>
        <v>1.82019308125503</v>
      </c>
      <c r="J68" s="19" t="n">
        <f aca="false">IF(G68="","",IF(G68+H68=0,50,100*G68/(G68+H68)))</f>
        <v>64.5414348880331</v>
      </c>
      <c r="K68" s="16" t="n">
        <f aca="false">IF(A68&lt;N_rsi+1,"",IF(A68=N_rsi+1,AVERAGE($E$9:E68),((N_rsi-1)*K67+E68)/N_rsi))</f>
        <v>2.78952323167045</v>
      </c>
      <c r="L68" s="16" t="n">
        <f aca="false">IF(A68&lt;N_rsi+1,"",IF(A68=N_rsi+1,AVERAGE($F$9:F68),((N_rsi-1)*L67+F68)/N_rsi))</f>
        <v>1.69455510824145</v>
      </c>
      <c r="M68" s="19" t="n">
        <f aca="false">IF(K68="","",IF(K68+L68=0,50,100*K68/(K68+L68)))</f>
        <v>62.2095115252882</v>
      </c>
      <c r="N68" s="11" t="str">
        <f aca="false">IF(M68="","",IF(M68&gt;70,"Sobrecompra",IF(M68&lt;30,"Sobreventa","Equilibrio")))</f>
        <v>Equilibrio</v>
      </c>
    </row>
    <row r="69" customFormat="false" ht="15" hidden="false" customHeight="false" outlineLevel="0" collapsed="false">
      <c r="A69" s="11" t="n">
        <f aca="false">ROW()-8</f>
        <v>61</v>
      </c>
      <c r="B69" s="14" t="n">
        <f aca="false">Datos!A62</f>
        <v>45975</v>
      </c>
      <c r="C69" s="15" t="n">
        <f aca="false">Datos!B62</f>
        <v>231.98</v>
      </c>
      <c r="D69" s="19" t="n">
        <f aca="false">IF(A69=1,"",C69-C68)</f>
        <v>3.04999999999998</v>
      </c>
      <c r="E69" s="19" t="n">
        <f aca="false">IF(D69="","",MAX(D69,0))</f>
        <v>3.04999999999998</v>
      </c>
      <c r="F69" s="19" t="n">
        <f aca="false">IF(D69="","",MAX(-D69,0))</f>
        <v>0</v>
      </c>
      <c r="G69" s="16" t="n">
        <f aca="false">IF(A69&lt;N_rsi+1,"",AVERAGE(INDEX($E$9:$E$112,A69-N_rsi+1):E69))</f>
        <v>3.20285714285714</v>
      </c>
      <c r="H69" s="16" t="n">
        <f aca="false">IF(A69&lt;N_rsi+1,"",AVERAGE(INDEX($F$9:$F$112,A69-N_rsi+1):F69))</f>
        <v>1.77571428571429</v>
      </c>
      <c r="I69" s="16" t="n">
        <f aca="false">IF(G69="","",IF(H69=0,"sin pérdidas",G69/H69))</f>
        <v>1.80370072405471</v>
      </c>
      <c r="J69" s="19" t="n">
        <f aca="false">IF(G69="","",IF(G69+H69=0,50,100*G69/(G69+H69)))</f>
        <v>64.3328550932568</v>
      </c>
      <c r="K69" s="16" t="n">
        <f aca="false">IF(A69&lt;N_rsi+1,"",IF(A69=N_rsi+1,AVERAGE($E$9:E69),((N_rsi-1)*K68+E69)/N_rsi))</f>
        <v>2.80812871512256</v>
      </c>
      <c r="L69" s="16" t="n">
        <f aca="false">IF(A69&lt;N_rsi+1,"",IF(A69=N_rsi+1,AVERAGE($F$9:F69),((N_rsi-1)*L68+F69)/N_rsi))</f>
        <v>1.57351545765278</v>
      </c>
      <c r="M69" s="19" t="n">
        <f aca="false">IF(K69="","",IF(K69+L69=0,50,100*K69/(K69+L69)))</f>
        <v>64.0884700900732</v>
      </c>
      <c r="N69" s="11" t="str">
        <f aca="false">IF(M69="","",IF(M69&gt;70,"Sobrecompra",IF(M69&lt;30,"Sobreventa","Equilibrio")))</f>
        <v>Equilibrio</v>
      </c>
    </row>
    <row r="70" customFormat="false" ht="15" hidden="false" customHeight="false" outlineLevel="0" collapsed="false">
      <c r="A70" s="11" t="n">
        <f aca="false">ROW()-8</f>
        <v>62</v>
      </c>
      <c r="B70" s="14" t="n">
        <f aca="false">Datos!A63</f>
        <v>45982</v>
      </c>
      <c r="C70" s="15" t="n">
        <f aca="false">Datos!B63</f>
        <v>219.67</v>
      </c>
      <c r="D70" s="19" t="n">
        <f aca="false">IF(A70=1,"",C70-C69)</f>
        <v>-12.31</v>
      </c>
      <c r="E70" s="19" t="n">
        <f aca="false">IF(D70="","",MAX(D70,0))</f>
        <v>0</v>
      </c>
      <c r="F70" s="19" t="n">
        <f aca="false">IF(D70="","",MAX(-D70,0))</f>
        <v>12.31</v>
      </c>
      <c r="G70" s="16" t="n">
        <f aca="false">IF(A70&lt;N_rsi+1,"",AVERAGE(INDEX($E$9:$E$112,A70-N_rsi+1):E70))</f>
        <v>3.20285714285714</v>
      </c>
      <c r="H70" s="16" t="n">
        <f aca="false">IF(A70&lt;N_rsi+1,"",AVERAGE(INDEX($F$9:$F$112,A70-N_rsi+1):F70))</f>
        <v>2.65357142857143</v>
      </c>
      <c r="I70" s="16" t="n">
        <f aca="false">IF(G70="","",IF(H70=0,"sin pérdidas",G70/H70))</f>
        <v>1.20699865410498</v>
      </c>
      <c r="J70" s="19" t="n">
        <f aca="false">IF(G70="","",IF(G70+H70=0,50,100*G70/(G70+H70)))</f>
        <v>54.6895962922308</v>
      </c>
      <c r="K70" s="16" t="n">
        <f aca="false">IF(A70&lt;N_rsi+1,"",IF(A70=N_rsi+1,AVERAGE($E$9:E70),((N_rsi-1)*K69+E70)/N_rsi))</f>
        <v>2.6075480926138</v>
      </c>
      <c r="L70" s="16" t="n">
        <f aca="false">IF(A70&lt;N_rsi+1,"",IF(A70=N_rsi+1,AVERAGE($F$9:F70),((N_rsi-1)*L69+F70)/N_rsi))</f>
        <v>2.34040721067758</v>
      </c>
      <c r="M70" s="19" t="n">
        <f aca="false">IF(K70="","",IF(K70+L70=0,50,100*K70/(K70+L70)))</f>
        <v>52.6995078326447</v>
      </c>
      <c r="N70" s="11" t="str">
        <f aca="false">IF(M70="","",IF(M70&gt;70,"Sobrecompra",IF(M70&lt;30,"Sobreventa","Equilibrio")))</f>
        <v>Equilibrio</v>
      </c>
    </row>
    <row r="71" customFormat="false" ht="15" hidden="false" customHeight="false" outlineLevel="0" collapsed="false">
      <c r="A71" s="11" t="n">
        <f aca="false">ROW()-8</f>
        <v>63</v>
      </c>
      <c r="B71" s="14" t="n">
        <f aca="false">Datos!A64</f>
        <v>45989</v>
      </c>
      <c r="C71" s="15" t="n">
        <f aca="false">Datos!B64</f>
        <v>227.29</v>
      </c>
      <c r="D71" s="19" t="n">
        <f aca="false">IF(A71=1,"",C71-C70)</f>
        <v>7.62</v>
      </c>
      <c r="E71" s="19" t="n">
        <f aca="false">IF(D71="","",MAX(D71,0))</f>
        <v>7.62</v>
      </c>
      <c r="F71" s="19" t="n">
        <f aca="false">IF(D71="","",MAX(-D71,0))</f>
        <v>0</v>
      </c>
      <c r="G71" s="16" t="n">
        <f aca="false">IF(A71&lt;N_rsi+1,"",AVERAGE(INDEX($E$9:$E$112,A71-N_rsi+1):E71))</f>
        <v>3.03142857142857</v>
      </c>
      <c r="H71" s="16" t="n">
        <f aca="false">IF(A71&lt;N_rsi+1,"",AVERAGE(INDEX($F$9:$F$112,A71-N_rsi+1):F71))</f>
        <v>2.65357142857143</v>
      </c>
      <c r="I71" s="16" t="n">
        <f aca="false">IF(G71="","",IF(H71=0,"sin pérdidas",G71/H71))</f>
        <v>1.14239569313594</v>
      </c>
      <c r="J71" s="19" t="n">
        <f aca="false">IF(G71="","",IF(G71+H71=0,50,100*G71/(G71+H71)))</f>
        <v>53.323281819324</v>
      </c>
      <c r="K71" s="16" t="n">
        <f aca="false">IF(A71&lt;N_rsi+1,"",IF(A71=N_rsi+1,AVERAGE($E$9:E71),((N_rsi-1)*K70+E71)/N_rsi))</f>
        <v>2.96558037171282</v>
      </c>
      <c r="L71" s="16" t="n">
        <f aca="false">IF(A71&lt;N_rsi+1,"",IF(A71=N_rsi+1,AVERAGE($F$9:F71),((N_rsi-1)*L70+F71)/N_rsi))</f>
        <v>2.17323526705775</v>
      </c>
      <c r="M71" s="19" t="n">
        <f aca="false">IF(K71="","",IF(K71+L71=0,50,100*K71/(K71+L71)))</f>
        <v>57.709413611544</v>
      </c>
      <c r="N71" s="11" t="str">
        <f aca="false">IF(M71="","",IF(M71&gt;70,"Sobrecompra",IF(M71&lt;30,"Sobreventa","Equilibrio")))</f>
        <v>Equilibrio</v>
      </c>
    </row>
    <row r="72" customFormat="false" ht="15" hidden="false" customHeight="false" outlineLevel="0" collapsed="false">
      <c r="A72" s="11" t="n">
        <f aca="false">ROW()-8</f>
        <v>64</v>
      </c>
      <c r="B72" s="14" t="n">
        <f aca="false">Datos!A65</f>
        <v>45996</v>
      </c>
      <c r="C72" s="15" t="n">
        <f aca="false">Datos!B65</f>
        <v>229.88</v>
      </c>
      <c r="D72" s="19" t="n">
        <f aca="false">IF(A72=1,"",C72-C71)</f>
        <v>2.59</v>
      </c>
      <c r="E72" s="19" t="n">
        <f aca="false">IF(D72="","",MAX(D72,0))</f>
        <v>2.59</v>
      </c>
      <c r="F72" s="19" t="n">
        <f aca="false">IF(D72="","",MAX(-D72,0))</f>
        <v>0</v>
      </c>
      <c r="G72" s="16" t="n">
        <f aca="false">IF(A72&lt;N_rsi+1,"",AVERAGE(INDEX($E$9:$E$112,A72-N_rsi+1):E72))</f>
        <v>2.84214285714286</v>
      </c>
      <c r="H72" s="16" t="n">
        <f aca="false">IF(A72&lt;N_rsi+1,"",AVERAGE(INDEX($F$9:$F$112,A72-N_rsi+1):F72))</f>
        <v>2.65357142857143</v>
      </c>
      <c r="I72" s="16" t="n">
        <f aca="false">IF(G72="","",IF(H72=0,"sin pérdidas",G72/H72))</f>
        <v>1.07106325706595</v>
      </c>
      <c r="J72" s="19" t="n">
        <f aca="false">IF(G72="","",IF(G72+H72=0,50,100*G72/(G72+H72)))</f>
        <v>51.7156225630361</v>
      </c>
      <c r="K72" s="16" t="n">
        <f aca="false">IF(A72&lt;N_rsi+1,"",IF(A72=N_rsi+1,AVERAGE($E$9:E72),((N_rsi-1)*K71+E72)/N_rsi))</f>
        <v>2.93875320230476</v>
      </c>
      <c r="L72" s="16" t="n">
        <f aca="false">IF(A72&lt;N_rsi+1,"",IF(A72=N_rsi+1,AVERAGE($F$9:F72),((N_rsi-1)*L71+F72)/N_rsi))</f>
        <v>2.01800417655363</v>
      </c>
      <c r="M72" s="19" t="n">
        <f aca="false">IF(K72="","",IF(K72+L72=0,50,100*K72/(K72+L72)))</f>
        <v>59.2878161606045</v>
      </c>
      <c r="N72" s="11" t="str">
        <f aca="false">IF(M72="","",IF(M72&gt;70,"Sobrecompra",IF(M72&lt;30,"Sobreventa","Equilibrio")))</f>
        <v>Equilibrio</v>
      </c>
    </row>
    <row r="73" customFormat="false" ht="15" hidden="false" customHeight="false" outlineLevel="0" collapsed="false">
      <c r="A73" s="11" t="n">
        <f aca="false">ROW()-8</f>
        <v>65</v>
      </c>
      <c r="B73" s="14" t="n">
        <f aca="false">Datos!A66</f>
        <v>46003</v>
      </c>
      <c r="C73" s="15" t="n">
        <f aca="false">Datos!B66</f>
        <v>238.14</v>
      </c>
      <c r="D73" s="19" t="n">
        <f aca="false">IF(A73=1,"",C73-C72)</f>
        <v>8.25999999999999</v>
      </c>
      <c r="E73" s="19" t="n">
        <f aca="false">IF(D73="","",MAX(D73,0))</f>
        <v>8.25999999999999</v>
      </c>
      <c r="F73" s="19" t="n">
        <f aca="false">IF(D73="","",MAX(-D73,0))</f>
        <v>0</v>
      </c>
      <c r="G73" s="16" t="n">
        <f aca="false">IF(A73&lt;N_rsi+1,"",AVERAGE(INDEX($E$9:$E$112,A73-N_rsi+1):E73))</f>
        <v>3.43214285714286</v>
      </c>
      <c r="H73" s="16" t="n">
        <f aca="false">IF(A73&lt;N_rsi+1,"",AVERAGE(INDEX($F$9:$F$112,A73-N_rsi+1):F73))</f>
        <v>2.155</v>
      </c>
      <c r="I73" s="16" t="n">
        <f aca="false">IF(G73="","",IF(H73=0,"sin pérdidas",G73/H73))</f>
        <v>1.59264169705005</v>
      </c>
      <c r="J73" s="19" t="n">
        <f aca="false">IF(G73="","",IF(G73+H73=0,50,100*G73/(G73+H73)))</f>
        <v>61.4293019688059</v>
      </c>
      <c r="K73" s="16" t="n">
        <f aca="false">IF(A73&lt;N_rsi+1,"",IF(A73=N_rsi+1,AVERAGE($E$9:E73),((N_rsi-1)*K72+E73)/N_rsi))</f>
        <v>3.31884225928299</v>
      </c>
      <c r="L73" s="16" t="n">
        <f aca="false">IF(A73&lt;N_rsi+1,"",IF(A73=N_rsi+1,AVERAGE($F$9:F73),((N_rsi-1)*L72+F73)/N_rsi))</f>
        <v>1.87386102108551</v>
      </c>
      <c r="M73" s="19" t="n">
        <f aca="false">IF(K73="","",IF(K73+L73=0,50,100*K73/(K73+L73)))</f>
        <v>63.9135741075401</v>
      </c>
      <c r="N73" s="11" t="str">
        <f aca="false">IF(M73="","",IF(M73&gt;70,"Sobrecompra",IF(M73&lt;30,"Sobreventa","Equilibrio")))</f>
        <v>Equilibrio</v>
      </c>
    </row>
    <row r="74" customFormat="false" ht="15" hidden="false" customHeight="false" outlineLevel="0" collapsed="false">
      <c r="A74" s="11" t="n">
        <f aca="false">ROW()-8</f>
        <v>66</v>
      </c>
      <c r="B74" s="14" t="n">
        <f aca="false">Datos!A67</f>
        <v>46010</v>
      </c>
      <c r="C74" s="15" t="n">
        <f aca="false">Datos!B67</f>
        <v>235.55</v>
      </c>
      <c r="D74" s="19" t="n">
        <f aca="false">IF(A74=1,"",C74-C73)</f>
        <v>-2.58999999999998</v>
      </c>
      <c r="E74" s="19" t="n">
        <f aca="false">IF(D74="","",MAX(D74,0))</f>
        <v>0</v>
      </c>
      <c r="F74" s="19" t="n">
        <f aca="false">IF(D74="","",MAX(-D74,0))</f>
        <v>2.58999999999998</v>
      </c>
      <c r="G74" s="16" t="n">
        <f aca="false">IF(A74&lt;N_rsi+1,"",AVERAGE(INDEX($E$9:$E$112,A74-N_rsi+1):E74))</f>
        <v>3.43214285714286</v>
      </c>
      <c r="H74" s="16" t="n">
        <f aca="false">IF(A74&lt;N_rsi+1,"",AVERAGE(INDEX($F$9:$F$112,A74-N_rsi+1):F74))</f>
        <v>2.20071428571428</v>
      </c>
      <c r="I74" s="16" t="n">
        <f aca="false">IF(G74="","",IF(H74=0,"sin pérdidas",G74/H74))</f>
        <v>1.55955858487504</v>
      </c>
      <c r="J74" s="19" t="n">
        <f aca="false">IF(G74="","",IF(G74+H74=0,50,100*G74/(G74+H74)))</f>
        <v>60.9307633781385</v>
      </c>
      <c r="K74" s="16" t="n">
        <f aca="false">IF(A74&lt;N_rsi+1,"",IF(A74=N_rsi+1,AVERAGE($E$9:E74),((N_rsi-1)*K73+E74)/N_rsi))</f>
        <v>3.08178209790563</v>
      </c>
      <c r="L74" s="16" t="n">
        <f aca="false">IF(A74&lt;N_rsi+1,"",IF(A74=N_rsi+1,AVERAGE($F$9:F74),((N_rsi-1)*L73+F74)/N_rsi))</f>
        <v>1.92501380529369</v>
      </c>
      <c r="M74" s="19" t="n">
        <f aca="false">IF(K74="","",IF(K74+L74=0,50,100*K74/(K74+L74)))</f>
        <v>61.5519816962458</v>
      </c>
      <c r="N74" s="11" t="str">
        <f aca="false">IF(M74="","",IF(M74&gt;70,"Sobrecompra",IF(M74&lt;30,"Sobreventa","Equilibrio")))</f>
        <v>Equilibrio</v>
      </c>
    </row>
    <row r="75" customFormat="false" ht="15" hidden="false" customHeight="false" outlineLevel="0" collapsed="false">
      <c r="A75" s="11" t="n">
        <f aca="false">ROW()-8</f>
        <v>67</v>
      </c>
      <c r="B75" s="14" t="n">
        <f aca="false">Datos!A68</f>
        <v>46017</v>
      </c>
      <c r="C75" s="15" t="n">
        <f aca="false">Datos!B68</f>
        <v>226.74</v>
      </c>
      <c r="D75" s="19" t="n">
        <f aca="false">IF(A75=1,"",C75-C74)</f>
        <v>-8.81</v>
      </c>
      <c r="E75" s="19" t="n">
        <f aca="false">IF(D75="","",MAX(D75,0))</f>
        <v>0</v>
      </c>
      <c r="F75" s="19" t="n">
        <f aca="false">IF(D75="","",MAX(-D75,0))</f>
        <v>8.81</v>
      </c>
      <c r="G75" s="16" t="n">
        <f aca="false">IF(A75&lt;N_rsi+1,"",AVERAGE(INDEX($E$9:$E$112,A75-N_rsi+1):E75))</f>
        <v>2.73357142857143</v>
      </c>
      <c r="H75" s="16" t="n">
        <f aca="false">IF(A75&lt;N_rsi+1,"",AVERAGE(INDEX($F$9:$F$112,A75-N_rsi+1):F75))</f>
        <v>2.83</v>
      </c>
      <c r="I75" s="16" t="n">
        <f aca="false">IF(G75="","",IF(H75=0,"sin pérdidas",G75/H75))</f>
        <v>0.965926299848562</v>
      </c>
      <c r="J75" s="19" t="n">
        <f aca="false">IF(G75="","",IF(G75+H75=0,50,100*G75/(G75+H75)))</f>
        <v>49.1333932468866</v>
      </c>
      <c r="K75" s="16" t="n">
        <f aca="false">IF(A75&lt;N_rsi+1,"",IF(A75=N_rsi+1,AVERAGE($E$9:E75),((N_rsi-1)*K74+E75)/N_rsi))</f>
        <v>2.86165480519809</v>
      </c>
      <c r="L75" s="16" t="n">
        <f aca="false">IF(A75&lt;N_rsi+1,"",IF(A75=N_rsi+1,AVERAGE($F$9:F75),((N_rsi-1)*L74+F75)/N_rsi))</f>
        <v>2.416798533487</v>
      </c>
      <c r="M75" s="19" t="n">
        <f aca="false">IF(K75="","",IF(K75+L75=0,50,100*K75/(K75+L75)))</f>
        <v>54.2138884552678</v>
      </c>
      <c r="N75" s="11" t="str">
        <f aca="false">IF(M75="","",IF(M75&gt;70,"Sobrecompra",IF(M75&lt;30,"Sobreventa","Equilibrio")))</f>
        <v>Equilibrio</v>
      </c>
    </row>
    <row r="76" customFormat="false" ht="15" hidden="false" customHeight="false" outlineLevel="0" collapsed="false">
      <c r="A76" s="11" t="n">
        <f aca="false">ROW()-8</f>
        <v>68</v>
      </c>
      <c r="B76" s="14" t="n">
        <f aca="false">Datos!A69</f>
        <v>46024</v>
      </c>
      <c r="C76" s="15" t="n">
        <f aca="false">Datos!B69</f>
        <v>224.69</v>
      </c>
      <c r="D76" s="19" t="n">
        <f aca="false">IF(A76=1,"",C76-C75)</f>
        <v>-2.05000000000001</v>
      </c>
      <c r="E76" s="19" t="n">
        <f aca="false">IF(D76="","",MAX(D76,0))</f>
        <v>0</v>
      </c>
      <c r="F76" s="19" t="n">
        <f aca="false">IF(D76="","",MAX(-D76,0))</f>
        <v>2.05000000000001</v>
      </c>
      <c r="G76" s="16" t="n">
        <f aca="false">IF(A76&lt;N_rsi+1,"",AVERAGE(INDEX($E$9:$E$112,A76-N_rsi+1):E76))</f>
        <v>2.73357142857143</v>
      </c>
      <c r="H76" s="16" t="n">
        <f aca="false">IF(A76&lt;N_rsi+1,"",AVERAGE(INDEX($F$9:$F$112,A76-N_rsi+1):F76))</f>
        <v>2.83357142857143</v>
      </c>
      <c r="I76" s="16" t="n">
        <f aca="false">IF(G76="","",IF(H76=0,"sin pérdidas",G76/H76))</f>
        <v>0.964708847995967</v>
      </c>
      <c r="J76" s="19" t="n">
        <f aca="false">IF(G76="","",IF(G76+H76=0,50,100*G76/(G76+H76)))</f>
        <v>49.1018732358224</v>
      </c>
      <c r="K76" s="16" t="n">
        <f aca="false">IF(A76&lt;N_rsi+1,"",IF(A76=N_rsi+1,AVERAGE($E$9:E76),((N_rsi-1)*K75+E76)/N_rsi))</f>
        <v>2.65725089054108</v>
      </c>
      <c r="L76" s="16" t="n">
        <f aca="false">IF(A76&lt;N_rsi+1,"",IF(A76=N_rsi+1,AVERAGE($F$9:F76),((N_rsi-1)*L75+F76)/N_rsi))</f>
        <v>2.39059863823793</v>
      </c>
      <c r="M76" s="19" t="n">
        <f aca="false">IF(K76="","",IF(K76+L76=0,50,100*K76/(K76+L76)))</f>
        <v>52.6412460472812</v>
      </c>
      <c r="N76" s="11" t="str">
        <f aca="false">IF(M76="","",IF(M76&gt;70,"Sobrecompra",IF(M76&lt;30,"Sobreventa","Equilibrio")))</f>
        <v>Equilibrio</v>
      </c>
    </row>
    <row r="77" customFormat="false" ht="15" hidden="false" customHeight="false" outlineLevel="0" collapsed="false">
      <c r="A77" s="11" t="n">
        <f aca="false">ROW()-8</f>
        <v>69</v>
      </c>
      <c r="B77" s="14" t="n">
        <f aca="false">Datos!A70</f>
        <v>46031</v>
      </c>
      <c r="C77" s="15" t="n">
        <f aca="false">Datos!B70</f>
        <v>219.58</v>
      </c>
      <c r="D77" s="19" t="n">
        <f aca="false">IF(A77=1,"",C77-C76)</f>
        <v>-5.10999999999999</v>
      </c>
      <c r="E77" s="19" t="n">
        <f aca="false">IF(D77="","",MAX(D77,0))</f>
        <v>0</v>
      </c>
      <c r="F77" s="19" t="n">
        <f aca="false">IF(D77="","",MAX(-D77,0))</f>
        <v>5.10999999999999</v>
      </c>
      <c r="G77" s="16" t="n">
        <f aca="false">IF(A77&lt;N_rsi+1,"",AVERAGE(INDEX($E$9:$E$112,A77-N_rsi+1):E77))</f>
        <v>2.73357142857143</v>
      </c>
      <c r="H77" s="16" t="n">
        <f aca="false">IF(A77&lt;N_rsi+1,"",AVERAGE(INDEX($F$9:$F$112,A77-N_rsi+1):F77))</f>
        <v>2.76928571428571</v>
      </c>
      <c r="I77" s="16" t="n">
        <f aca="false">IF(G77="","",IF(H77=0,"sin pérdidas",G77/H77))</f>
        <v>0.98710343048749</v>
      </c>
      <c r="J77" s="19" t="n">
        <f aca="false">IF(G77="","",IF(G77+H77=0,50,100*G77/(G77+H77)))</f>
        <v>49.6754932502596</v>
      </c>
      <c r="K77" s="16" t="n">
        <f aca="false">IF(A77&lt;N_rsi+1,"",IF(A77=N_rsi+1,AVERAGE($E$9:E77),((N_rsi-1)*K76+E77)/N_rsi))</f>
        <v>2.46744725550243</v>
      </c>
      <c r="L77" s="16" t="n">
        <f aca="false">IF(A77&lt;N_rsi+1,"",IF(A77=N_rsi+1,AVERAGE($F$9:F77),((N_rsi-1)*L76+F77)/N_rsi))</f>
        <v>2.5848415926495</v>
      </c>
      <c r="M77" s="19" t="n">
        <f aca="false">IF(K77="","",IF(K77+L77=0,50,100*K77/(K77+L77)))</f>
        <v>48.8382063983732</v>
      </c>
      <c r="N77" s="11" t="str">
        <f aca="false">IF(M77="","",IF(M77&gt;70,"Sobrecompra",IF(M77&lt;30,"Sobreventa","Equilibrio")))</f>
        <v>Equilibrio</v>
      </c>
    </row>
    <row r="78" customFormat="false" ht="15" hidden="false" customHeight="false" outlineLevel="0" collapsed="false">
      <c r="A78" s="11" t="n">
        <f aca="false">ROW()-8</f>
        <v>70</v>
      </c>
      <c r="B78" s="14" t="n">
        <f aca="false">Datos!A71</f>
        <v>46038</v>
      </c>
      <c r="C78" s="15" t="n">
        <f aca="false">Datos!B71</f>
        <v>218.42</v>
      </c>
      <c r="D78" s="19" t="n">
        <f aca="false">IF(A78=1,"",C78-C77)</f>
        <v>-1.16000000000003</v>
      </c>
      <c r="E78" s="19" t="n">
        <f aca="false">IF(D78="","",MAX(D78,0))</f>
        <v>0</v>
      </c>
      <c r="F78" s="19" t="n">
        <f aca="false">IF(D78="","",MAX(-D78,0))</f>
        <v>1.16000000000003</v>
      </c>
      <c r="G78" s="16" t="n">
        <f aca="false">IF(A78&lt;N_rsi+1,"",AVERAGE(INDEX($E$9:$E$112,A78-N_rsi+1):E78))</f>
        <v>1.86571428571429</v>
      </c>
      <c r="H78" s="16" t="n">
        <f aca="false">IF(A78&lt;N_rsi+1,"",AVERAGE(INDEX($F$9:$F$112,A78-N_rsi+1):F78))</f>
        <v>2.85214285714286</v>
      </c>
      <c r="I78" s="16" t="n">
        <f aca="false">IF(G78="","",IF(H78=0,"sin pérdidas",G78/H78))</f>
        <v>0.654144753318307</v>
      </c>
      <c r="J78" s="19" t="n">
        <f aca="false">IF(G78="","",IF(G78+H78=0,50,100*G78/(G78+H78)))</f>
        <v>39.5457986373959</v>
      </c>
      <c r="K78" s="16" t="n">
        <f aca="false">IF(A78&lt;N_rsi+1,"",IF(A78=N_rsi+1,AVERAGE($E$9:E78),((N_rsi-1)*K77+E78)/N_rsi))</f>
        <v>2.29120102296655</v>
      </c>
      <c r="L78" s="16" t="n">
        <f aca="false">IF(A78&lt;N_rsi+1,"",IF(A78=N_rsi+1,AVERAGE($F$9:F78),((N_rsi-1)*L77+F78)/N_rsi))</f>
        <v>2.48306719317454</v>
      </c>
      <c r="M78" s="19" t="n">
        <f aca="false">IF(K78="","",IF(K78+L78=0,50,100*K78/(K78+L78)))</f>
        <v>47.990622211386</v>
      </c>
      <c r="N78" s="11" t="str">
        <f aca="false">IF(M78="","",IF(M78&gt;70,"Sobrecompra",IF(M78&lt;30,"Sobreventa","Equilibrio")))</f>
        <v>Equilibrio</v>
      </c>
    </row>
    <row r="79" customFormat="false" ht="15" hidden="false" customHeight="false" outlineLevel="0" collapsed="false">
      <c r="A79" s="11" t="n">
        <f aca="false">ROW()-8</f>
        <v>71</v>
      </c>
      <c r="B79" s="14" t="n">
        <f aca="false">Datos!A72</f>
        <v>46045</v>
      </c>
      <c r="C79" s="15" t="n">
        <f aca="false">Datos!B72</f>
        <v>230.39</v>
      </c>
      <c r="D79" s="19" t="n">
        <f aca="false">IF(A79=1,"",C79-C78)</f>
        <v>11.97</v>
      </c>
      <c r="E79" s="19" t="n">
        <f aca="false">IF(D79="","",MAX(D79,0))</f>
        <v>11.97</v>
      </c>
      <c r="F79" s="19" t="n">
        <f aca="false">IF(D79="","",MAX(-D79,0))</f>
        <v>0</v>
      </c>
      <c r="G79" s="16" t="n">
        <f aca="false">IF(A79&lt;N_rsi+1,"",AVERAGE(INDEX($E$9:$E$112,A79-N_rsi+1):E79))</f>
        <v>2.72071428571429</v>
      </c>
      <c r="H79" s="16" t="n">
        <f aca="false">IF(A79&lt;N_rsi+1,"",AVERAGE(INDEX($F$9:$F$112,A79-N_rsi+1):F79))</f>
        <v>2.68428571428572</v>
      </c>
      <c r="I79" s="16" t="n">
        <f aca="false">IF(G79="","",IF(H79=0,"sin pérdidas",G79/H79))</f>
        <v>1.01357104843002</v>
      </c>
      <c r="J79" s="19" t="n">
        <f aca="false">IF(G79="","",IF(G79+H79=0,50,100*G79/(G79+H79)))</f>
        <v>50.3369895599313</v>
      </c>
      <c r="K79" s="16" t="n">
        <f aca="false">IF(A79&lt;N_rsi+1,"",IF(A79=N_rsi+1,AVERAGE($E$9:E79),((N_rsi-1)*K78+E79)/N_rsi))</f>
        <v>2.98254380704036</v>
      </c>
      <c r="L79" s="16" t="n">
        <f aca="false">IF(A79&lt;N_rsi+1,"",IF(A79=N_rsi+1,AVERAGE($F$9:F79),((N_rsi-1)*L78+F79)/N_rsi))</f>
        <v>2.30570525080493</v>
      </c>
      <c r="M79" s="19" t="n">
        <f aca="false">IF(K79="","",IF(K79+L79=0,50,100*K79/(K79+L79)))</f>
        <v>56.3994580137194</v>
      </c>
      <c r="N79" s="11" t="str">
        <f aca="false">IF(M79="","",IF(M79&gt;70,"Sobrecompra",IF(M79&lt;30,"Sobreventa","Equilibrio")))</f>
        <v>Equilibrio</v>
      </c>
    </row>
    <row r="80" customFormat="false" ht="15" hidden="false" customHeight="false" outlineLevel="0" collapsed="false">
      <c r="A80" s="11" t="n">
        <f aca="false">ROW()-8</f>
        <v>72</v>
      </c>
      <c r="B80" s="14" t="n">
        <f aca="false">Datos!A73</f>
        <v>46052</v>
      </c>
      <c r="C80" s="15" t="n">
        <f aca="false">Datos!B73</f>
        <v>226.42</v>
      </c>
      <c r="D80" s="19" t="n">
        <f aca="false">IF(A80=1,"",C80-C79)</f>
        <v>-3.97</v>
      </c>
      <c r="E80" s="19" t="n">
        <f aca="false">IF(D80="","",MAX(D80,0))</f>
        <v>0</v>
      </c>
      <c r="F80" s="19" t="n">
        <f aca="false">IF(D80="","",MAX(-D80,0))</f>
        <v>3.97</v>
      </c>
      <c r="G80" s="16" t="n">
        <f aca="false">IF(A80&lt;N_rsi+1,"",AVERAGE(INDEX($E$9:$E$112,A80-N_rsi+1):E80))</f>
        <v>2.72071428571429</v>
      </c>
      <c r="H80" s="16" t="n">
        <f aca="false">IF(A80&lt;N_rsi+1,"",AVERAGE(INDEX($F$9:$F$112,A80-N_rsi+1):F80))</f>
        <v>2.95071428571429</v>
      </c>
      <c r="I80" s="16" t="n">
        <f aca="false">IF(G80="","",IF(H80=0,"sin pérdidas",G80/H80))</f>
        <v>0.922052771725974</v>
      </c>
      <c r="J80" s="19" t="n">
        <f aca="false">IF(G80="","",IF(G80+H80=0,50,100*G80/(G80+H80)))</f>
        <v>47.9722921914358</v>
      </c>
      <c r="K80" s="16" t="n">
        <f aca="false">IF(A80&lt;N_rsi+1,"",IF(A80=N_rsi+1,AVERAGE($E$9:E80),((N_rsi-1)*K79+E80)/N_rsi))</f>
        <v>2.76950496368034</v>
      </c>
      <c r="L80" s="16" t="n">
        <f aca="false">IF(A80&lt;N_rsi+1,"",IF(A80=N_rsi+1,AVERAGE($F$9:F80),((N_rsi-1)*L79+F80)/N_rsi))</f>
        <v>2.42458344717601</v>
      </c>
      <c r="M80" s="19" t="n">
        <f aca="false">IF(K80="","",IF(K80+L80=0,50,100*K80/(K80+L80)))</f>
        <v>53.3203277381975</v>
      </c>
      <c r="N80" s="11" t="str">
        <f aca="false">IF(M80="","",IF(M80&gt;70,"Sobrecompra",IF(M80&lt;30,"Sobreventa","Equilibrio")))</f>
        <v>Equilibrio</v>
      </c>
    </row>
    <row r="81" customFormat="false" ht="15" hidden="false" customHeight="false" outlineLevel="0" collapsed="false">
      <c r="A81" s="11" t="n">
        <f aca="false">ROW()-8</f>
        <v>73</v>
      </c>
      <c r="B81" s="14" t="n">
        <f aca="false">Datos!A74</f>
        <v>46059</v>
      </c>
      <c r="C81" s="15" t="n">
        <f aca="false">Datos!B74</f>
        <v>226.19</v>
      </c>
      <c r="D81" s="19" t="n">
        <f aca="false">IF(A81=1,"",C81-C80)</f>
        <v>-0.22999999999999</v>
      </c>
      <c r="E81" s="19" t="n">
        <f aca="false">IF(D81="","",MAX(D81,0))</f>
        <v>0</v>
      </c>
      <c r="F81" s="19" t="n">
        <f aca="false">IF(D81="","",MAX(-D81,0))</f>
        <v>0.22999999999999</v>
      </c>
      <c r="G81" s="16" t="n">
        <f aca="false">IF(A81&lt;N_rsi+1,"",AVERAGE(INDEX($E$9:$E$112,A81-N_rsi+1):E81))</f>
        <v>2.39214285714286</v>
      </c>
      <c r="H81" s="16" t="n">
        <f aca="false">IF(A81&lt;N_rsi+1,"",AVERAGE(INDEX($F$9:$F$112,A81-N_rsi+1):F81))</f>
        <v>2.96714285714286</v>
      </c>
      <c r="I81" s="16" t="n">
        <f aca="false">IF(G81="","",IF(H81=0,"sin pérdidas",G81/H81))</f>
        <v>0.806210881078478</v>
      </c>
      <c r="J81" s="19" t="n">
        <f aca="false">IF(G81="","",IF(G81+H81=0,50,100*G81/(G81+H81)))</f>
        <v>44.6354791416767</v>
      </c>
      <c r="K81" s="16" t="n">
        <f aca="false">IF(A81&lt;N_rsi+1,"",IF(A81=N_rsi+1,AVERAGE($E$9:E81),((N_rsi-1)*K80+E81)/N_rsi))</f>
        <v>2.57168318056031</v>
      </c>
      <c r="L81" s="16" t="n">
        <f aca="false">IF(A81&lt;N_rsi+1,"",IF(A81=N_rsi+1,AVERAGE($F$9:F81),((N_rsi-1)*L80+F81)/N_rsi))</f>
        <v>2.26782748666343</v>
      </c>
      <c r="M81" s="19" t="n">
        <f aca="false">IF(K81="","",IF(K81+L81=0,50,100*K81/(K81+L81)))</f>
        <v>53.1393224934371</v>
      </c>
      <c r="N81" s="11" t="str">
        <f aca="false">IF(M81="","",IF(M81&gt;70,"Sobrecompra",IF(M81&lt;30,"Sobreventa","Equilibrio")))</f>
        <v>Equilibrio</v>
      </c>
    </row>
    <row r="82" customFormat="false" ht="15" hidden="false" customHeight="false" outlineLevel="0" collapsed="false">
      <c r="A82" s="11" t="n">
        <f aca="false">ROW()-8</f>
        <v>74</v>
      </c>
      <c r="B82" s="14" t="n">
        <f aca="false">Datos!A75</f>
        <v>46066</v>
      </c>
      <c r="C82" s="15" t="n">
        <f aca="false">Datos!B75</f>
        <v>221.38</v>
      </c>
      <c r="D82" s="19" t="n">
        <f aca="false">IF(A82=1,"",C82-C81)</f>
        <v>-4.81</v>
      </c>
      <c r="E82" s="19" t="n">
        <f aca="false">IF(D82="","",MAX(D82,0))</f>
        <v>0</v>
      </c>
      <c r="F82" s="19" t="n">
        <f aca="false">IF(D82="","",MAX(-D82,0))</f>
        <v>4.81</v>
      </c>
      <c r="G82" s="16" t="n">
        <f aca="false">IF(A82&lt;N_rsi+1,"",AVERAGE(INDEX($E$9:$E$112,A82-N_rsi+1):E82))</f>
        <v>2.39214285714286</v>
      </c>
      <c r="H82" s="16" t="n">
        <f aca="false">IF(A82&lt;N_rsi+1,"",AVERAGE(INDEX($F$9:$F$112,A82-N_rsi+1):F82))</f>
        <v>2.93142857142857</v>
      </c>
      <c r="I82" s="16" t="n">
        <f aca="false">IF(G82="","",IF(H82=0,"sin pérdidas",G82/H82))</f>
        <v>0.816033138401559</v>
      </c>
      <c r="J82" s="19" t="n">
        <f aca="false">IF(G82="","",IF(G82+H82=0,50,100*G82/(G82+H82)))</f>
        <v>44.9349255333423</v>
      </c>
      <c r="K82" s="16" t="n">
        <f aca="false">IF(A82&lt;N_rsi+1,"",IF(A82=N_rsi+1,AVERAGE($E$9:E82),((N_rsi-1)*K81+E82)/N_rsi))</f>
        <v>2.38799152480601</v>
      </c>
      <c r="L82" s="16" t="n">
        <f aca="false">IF(A82&lt;N_rsi+1,"",IF(A82=N_rsi+1,AVERAGE($F$9:F82),((N_rsi-1)*L81+F82)/N_rsi))</f>
        <v>2.44941123761604</v>
      </c>
      <c r="M82" s="19" t="n">
        <f aca="false">IF(K82="","",IF(K82+L82=0,50,100*K82/(K82+L82)))</f>
        <v>49.3651581662048</v>
      </c>
      <c r="N82" s="11" t="str">
        <f aca="false">IF(M82="","",IF(M82&gt;70,"Sobrecompra",IF(M82&lt;30,"Sobreventa","Equilibrio")))</f>
        <v>Equilibrio</v>
      </c>
    </row>
    <row r="83" customFormat="false" ht="15" hidden="false" customHeight="false" outlineLevel="0" collapsed="false">
      <c r="A83" s="11" t="n">
        <f aca="false">ROW()-8</f>
        <v>75</v>
      </c>
      <c r="B83" s="14" t="n">
        <f aca="false">Datos!A76</f>
        <v>46073</v>
      </c>
      <c r="C83" s="15" t="n">
        <f aca="false">Datos!B76</f>
        <v>238.67</v>
      </c>
      <c r="D83" s="19" t="n">
        <f aca="false">IF(A83=1,"",C83-C82)</f>
        <v>17.29</v>
      </c>
      <c r="E83" s="19" t="n">
        <f aca="false">IF(D83="","",MAX(D83,0))</f>
        <v>17.29</v>
      </c>
      <c r="F83" s="19" t="n">
        <f aca="false">IF(D83="","",MAX(-D83,0))</f>
        <v>0</v>
      </c>
      <c r="G83" s="16" t="n">
        <f aca="false">IF(A83&lt;N_rsi+1,"",AVERAGE(INDEX($E$9:$E$112,A83-N_rsi+1):E83))</f>
        <v>3.40928571428571</v>
      </c>
      <c r="H83" s="16" t="n">
        <f aca="false">IF(A83&lt;N_rsi+1,"",AVERAGE(INDEX($F$9:$F$112,A83-N_rsi+1):F83))</f>
        <v>2.93142857142857</v>
      </c>
      <c r="I83" s="16" t="n">
        <f aca="false">IF(G83="","",IF(H83=0,"sin pérdidas",G83/H83))</f>
        <v>1.16301169590643</v>
      </c>
      <c r="J83" s="19" t="n">
        <f aca="false">IF(G83="","",IF(G83+H83=0,50,100*G83/(G83+H83)))</f>
        <v>53.7681649205813</v>
      </c>
      <c r="K83" s="16" t="n">
        <f aca="false">IF(A83&lt;N_rsi+1,"",IF(A83=N_rsi+1,AVERAGE($E$9:E83),((N_rsi-1)*K82+E83)/N_rsi))</f>
        <v>3.45242070160558</v>
      </c>
      <c r="L83" s="16" t="n">
        <f aca="false">IF(A83&lt;N_rsi+1,"",IF(A83=N_rsi+1,AVERAGE($F$9:F83),((N_rsi-1)*L82+F83)/N_rsi))</f>
        <v>2.27445329207204</v>
      </c>
      <c r="M83" s="19" t="n">
        <f aca="false">IF(K83="","",IF(K83+L83=0,50,100*K83/(K83+L83)))</f>
        <v>60.2845584767012</v>
      </c>
      <c r="N83" s="11" t="str">
        <f aca="false">IF(M83="","",IF(M83&gt;70,"Sobrecompra",IF(M83&lt;30,"Sobreventa","Equilibrio")))</f>
        <v>Equilibrio</v>
      </c>
    </row>
    <row r="84" customFormat="false" ht="15" hidden="false" customHeight="false" outlineLevel="0" collapsed="false">
      <c r="A84" s="11" t="n">
        <f aca="false">ROW()-8</f>
        <v>76</v>
      </c>
      <c r="B84" s="14" t="n">
        <f aca="false">Datos!A77</f>
        <v>46080</v>
      </c>
      <c r="C84" s="15" t="n">
        <f aca="false">Datos!B77</f>
        <v>244.47</v>
      </c>
      <c r="D84" s="19" t="n">
        <f aca="false">IF(A84=1,"",C84-C83)</f>
        <v>5.80000000000001</v>
      </c>
      <c r="E84" s="19" t="n">
        <f aca="false">IF(D84="","",MAX(D84,0))</f>
        <v>5.80000000000001</v>
      </c>
      <c r="F84" s="19" t="n">
        <f aca="false">IF(D84="","",MAX(-D84,0))</f>
        <v>0</v>
      </c>
      <c r="G84" s="16" t="n">
        <f aca="false">IF(A84&lt;N_rsi+1,"",AVERAGE(INDEX($E$9:$E$112,A84-N_rsi+1):E84))</f>
        <v>3.82357142857143</v>
      </c>
      <c r="H84" s="16" t="n">
        <f aca="false">IF(A84&lt;N_rsi+1,"",AVERAGE(INDEX($F$9:$F$112,A84-N_rsi+1):F84))</f>
        <v>2.05214285714286</v>
      </c>
      <c r="I84" s="16" t="n">
        <f aca="false">IF(G84="","",IF(H84=0,"sin pérdidas",G84/H84))</f>
        <v>1.86320918900105</v>
      </c>
      <c r="J84" s="19" t="n">
        <f aca="false">IF(G84="","",IF(G84+H84=0,50,100*G84/(G84+H84)))</f>
        <v>65.0741551179188</v>
      </c>
      <c r="K84" s="16" t="n">
        <f aca="false">IF(A84&lt;N_rsi+1,"",IF(A84=N_rsi+1,AVERAGE($E$9:E84),((N_rsi-1)*K83+E84)/N_rsi))</f>
        <v>3.62010493720518</v>
      </c>
      <c r="L84" s="16" t="n">
        <f aca="false">IF(A84&lt;N_rsi+1,"",IF(A84=N_rsi+1,AVERAGE($F$9:F84),((N_rsi-1)*L83+F84)/N_rsi))</f>
        <v>2.11199234263832</v>
      </c>
      <c r="M84" s="19" t="n">
        <f aca="false">IF(K84="","",IF(K84+L84=0,50,100*K84/(K84+L84)))</f>
        <v>63.15498081191</v>
      </c>
      <c r="N84" s="11" t="str">
        <f aca="false">IF(M84="","",IF(M84&gt;70,"Sobrecompra",IF(M84&lt;30,"Sobreventa","Equilibrio")))</f>
        <v>Equilibrio</v>
      </c>
    </row>
    <row r="85" customFormat="false" ht="15" hidden="false" customHeight="false" outlineLevel="0" collapsed="false">
      <c r="A85" s="11" t="n">
        <f aca="false">ROW()-8</f>
        <v>77</v>
      </c>
      <c r="B85" s="14" t="n">
        <f aca="false">Datos!A78</f>
        <v>46087</v>
      </c>
      <c r="C85" s="15" t="n">
        <f aca="false">Datos!B78</f>
        <v>241.48</v>
      </c>
      <c r="D85" s="19" t="n">
        <f aca="false">IF(A85=1,"",C85-C84)</f>
        <v>-2.99000000000001</v>
      </c>
      <c r="E85" s="19" t="n">
        <f aca="false">IF(D85="","",MAX(D85,0))</f>
        <v>0</v>
      </c>
      <c r="F85" s="19" t="n">
        <f aca="false">IF(D85="","",MAX(-D85,0))</f>
        <v>2.99000000000001</v>
      </c>
      <c r="G85" s="16" t="n">
        <f aca="false">IF(A85&lt;N_rsi+1,"",AVERAGE(INDEX($E$9:$E$112,A85-N_rsi+1):E85))</f>
        <v>3.27928571428571</v>
      </c>
      <c r="H85" s="16" t="n">
        <f aca="false">IF(A85&lt;N_rsi+1,"",AVERAGE(INDEX($F$9:$F$112,A85-N_rsi+1):F85))</f>
        <v>2.26571428571429</v>
      </c>
      <c r="I85" s="16" t="n">
        <f aca="false">IF(G85="","",IF(H85=0,"sin pérdidas",G85/H85))</f>
        <v>1.44735182849937</v>
      </c>
      <c r="J85" s="19" t="n">
        <f aca="false">IF(G85="","",IF(G85+H85=0,50,100*G85/(G85+H85)))</f>
        <v>59.139507922195</v>
      </c>
      <c r="K85" s="16" t="n">
        <f aca="false">IF(A85&lt;N_rsi+1,"",IF(A85=N_rsi+1,AVERAGE($E$9:E85),((N_rsi-1)*K84+E85)/N_rsi))</f>
        <v>3.36152601311909</v>
      </c>
      <c r="L85" s="16" t="n">
        <f aca="false">IF(A85&lt;N_rsi+1,"",IF(A85=N_rsi+1,AVERAGE($F$9:F85),((N_rsi-1)*L84+F85)/N_rsi))</f>
        <v>2.17470717530702</v>
      </c>
      <c r="M85" s="19" t="n">
        <f aca="false">IF(K85="","",IF(K85+L85=0,50,100*K85/(K85+L85)))</f>
        <v>60.7186492820896</v>
      </c>
      <c r="N85" s="11" t="str">
        <f aca="false">IF(M85="","",IF(M85&gt;70,"Sobrecompra",IF(M85&lt;30,"Sobreventa","Equilibrio")))</f>
        <v>Equilibrio</v>
      </c>
    </row>
    <row r="86" customFormat="false" ht="15" hidden="false" customHeight="false" outlineLevel="0" collapsed="false">
      <c r="A86" s="11" t="n">
        <f aca="false">ROW()-8</f>
        <v>78</v>
      </c>
      <c r="B86" s="14" t="n">
        <f aca="false">Datos!A79</f>
        <v>46094</v>
      </c>
      <c r="C86" s="15" t="n">
        <f aca="false">Datos!B79</f>
        <v>238.58</v>
      </c>
      <c r="D86" s="19" t="n">
        <f aca="false">IF(A86=1,"",C86-C85)</f>
        <v>-2.89999999999998</v>
      </c>
      <c r="E86" s="19" t="n">
        <f aca="false">IF(D86="","",MAX(D86,0))</f>
        <v>0</v>
      </c>
      <c r="F86" s="19" t="n">
        <f aca="false">IF(D86="","",MAX(-D86,0))</f>
        <v>2.89999999999998</v>
      </c>
      <c r="G86" s="16" t="n">
        <f aca="false">IF(A86&lt;N_rsi+1,"",AVERAGE(INDEX($E$9:$E$112,A86-N_rsi+1):E86))</f>
        <v>3.09428571428571</v>
      </c>
      <c r="H86" s="16" t="n">
        <f aca="false">IF(A86&lt;N_rsi+1,"",AVERAGE(INDEX($F$9:$F$112,A86-N_rsi+1):F86))</f>
        <v>2.47285714285714</v>
      </c>
      <c r="I86" s="16" t="n">
        <f aca="false">IF(G86="","",IF(H86=0,"sin pérdidas",G86/H86))</f>
        <v>1.25129982668978</v>
      </c>
      <c r="J86" s="19" t="n">
        <f aca="false">IF(G86="","",IF(G86+H86=0,50,100*G86/(G86+H86)))</f>
        <v>55.5812163202464</v>
      </c>
      <c r="K86" s="16" t="n">
        <f aca="false">IF(A86&lt;N_rsi+1,"",IF(A86=N_rsi+1,AVERAGE($E$9:E86),((N_rsi-1)*K85+E86)/N_rsi))</f>
        <v>3.12141701218202</v>
      </c>
      <c r="L86" s="16" t="n">
        <f aca="false">IF(A86&lt;N_rsi+1,"",IF(A86=N_rsi+1,AVERAGE($F$9:F86),((N_rsi-1)*L85+F86)/N_rsi))</f>
        <v>2.22651380564223</v>
      </c>
      <c r="M86" s="19" t="n">
        <f aca="false">IF(K86="","",IF(K86+L86=0,50,100*K86/(K86+L86)))</f>
        <v>58.3668173451042</v>
      </c>
      <c r="N86" s="11" t="str">
        <f aca="false">IF(M86="","",IF(M86&gt;70,"Sobrecompra",IF(M86&lt;30,"Sobreventa","Equilibrio")))</f>
        <v>Equilibrio</v>
      </c>
    </row>
    <row r="87" customFormat="false" ht="15" hidden="false" customHeight="false" outlineLevel="0" collapsed="false">
      <c r="A87" s="11" t="n">
        <f aca="false">ROW()-8</f>
        <v>79</v>
      </c>
      <c r="B87" s="14" t="n">
        <f aca="false">Datos!A80</f>
        <v>46101</v>
      </c>
      <c r="C87" s="15" t="n">
        <f aca="false">Datos!B80</f>
        <v>238.2</v>
      </c>
      <c r="D87" s="19" t="n">
        <f aca="false">IF(A87=1,"",C87-C86)</f>
        <v>-0.380000000000024</v>
      </c>
      <c r="E87" s="19" t="n">
        <f aca="false">IF(D87="","",MAX(D87,0))</f>
        <v>0</v>
      </c>
      <c r="F87" s="19" t="n">
        <f aca="false">IF(D87="","",MAX(-D87,0))</f>
        <v>0.380000000000024</v>
      </c>
      <c r="G87" s="16" t="n">
        <f aca="false">IF(A87&lt;N_rsi+1,"",AVERAGE(INDEX($E$9:$E$112,A87-N_rsi+1):E87))</f>
        <v>2.50428571428571</v>
      </c>
      <c r="H87" s="16" t="n">
        <f aca="false">IF(A87&lt;N_rsi+1,"",AVERAGE(INDEX($F$9:$F$112,A87-N_rsi+1):F87))</f>
        <v>2.5</v>
      </c>
      <c r="I87" s="16" t="n">
        <f aca="false">IF(G87="","",IF(H87=0,"sin pérdidas",G87/H87))</f>
        <v>1.00171428571429</v>
      </c>
      <c r="J87" s="19" t="n">
        <f aca="false">IF(G87="","",IF(G87+H87=0,50,100*G87/(G87+H87)))</f>
        <v>50.0428204396232</v>
      </c>
      <c r="K87" s="16" t="n">
        <f aca="false">IF(A87&lt;N_rsi+1,"",IF(A87=N_rsi+1,AVERAGE($E$9:E87),((N_rsi-1)*K86+E87)/N_rsi))</f>
        <v>2.89845865416901</v>
      </c>
      <c r="L87" s="16" t="n">
        <f aca="false">IF(A87&lt;N_rsi+1,"",IF(A87=N_rsi+1,AVERAGE($F$9:F87),((N_rsi-1)*L86+F87)/N_rsi))</f>
        <v>2.09461996238207</v>
      </c>
      <c r="M87" s="19" t="n">
        <f aca="false">IF(K87="","",IF(K87+L87=0,50,100*K87/(K87+L87)))</f>
        <v>58.0495296941888</v>
      </c>
      <c r="N87" s="11" t="str">
        <f aca="false">IF(M87="","",IF(M87&gt;70,"Sobrecompra",IF(M87&lt;30,"Sobreventa","Equilibrio")))</f>
        <v>Equilibrio</v>
      </c>
    </row>
    <row r="88" customFormat="false" ht="15" hidden="false" customHeight="false" outlineLevel="0" collapsed="false">
      <c r="A88" s="11" t="n">
        <f aca="false">ROW()-8</f>
        <v>80</v>
      </c>
      <c r="B88" s="14" t="n">
        <f aca="false">Datos!A81</f>
        <v>46108</v>
      </c>
      <c r="C88" s="15" t="n">
        <f aca="false">Datos!B81</f>
        <v>232.42</v>
      </c>
      <c r="D88" s="19" t="n">
        <f aca="false">IF(A88=1,"",C88-C87)</f>
        <v>-5.78</v>
      </c>
      <c r="E88" s="19" t="n">
        <f aca="false">IF(D88="","",MAX(D88,0))</f>
        <v>0</v>
      </c>
      <c r="F88" s="19" t="n">
        <f aca="false">IF(D88="","",MAX(-D88,0))</f>
        <v>5.78</v>
      </c>
      <c r="G88" s="16" t="n">
        <f aca="false">IF(A88&lt;N_rsi+1,"",AVERAGE(INDEX($E$9:$E$112,A88-N_rsi+1):E88))</f>
        <v>2.50428571428571</v>
      </c>
      <c r="H88" s="16" t="n">
        <f aca="false">IF(A88&lt;N_rsi+1,"",AVERAGE(INDEX($F$9:$F$112,A88-N_rsi+1):F88))</f>
        <v>2.72785714285714</v>
      </c>
      <c r="I88" s="16" t="n">
        <f aca="false">IF(G88="","",IF(H88=0,"sin pérdidas",G88/H88))</f>
        <v>0.918041372086933</v>
      </c>
      <c r="J88" s="19" t="n">
        <f aca="false">IF(G88="","",IF(G88+H88=0,50,100*G88/(G88+H88)))</f>
        <v>47.8634812286689</v>
      </c>
      <c r="K88" s="16" t="n">
        <f aca="false">IF(A88&lt;N_rsi+1,"",IF(A88=N_rsi+1,AVERAGE($E$9:E88),((N_rsi-1)*K87+E88)/N_rsi))</f>
        <v>2.69142589315694</v>
      </c>
      <c r="L88" s="16" t="n">
        <f aca="false">IF(A88&lt;N_rsi+1,"",IF(A88=N_rsi+1,AVERAGE($F$9:F88),((N_rsi-1)*L87+F88)/N_rsi))</f>
        <v>2.35786139364049</v>
      </c>
      <c r="M88" s="19" t="n">
        <f aca="false">IF(K88="","",IF(K88+L88=0,50,100*K88/(K88+L88)))</f>
        <v>53.3030849758602</v>
      </c>
      <c r="N88" s="11" t="str">
        <f aca="false">IF(M88="","",IF(M88&gt;70,"Sobrecompra",IF(M88&lt;30,"Sobreventa","Equilibrio")))</f>
        <v>Equilibrio</v>
      </c>
    </row>
    <row r="89" customFormat="false" ht="15" hidden="false" customHeight="false" outlineLevel="0" collapsed="false">
      <c r="A89" s="11" t="n">
        <f aca="false">ROW()-8</f>
        <v>81</v>
      </c>
      <c r="B89" s="14" t="n">
        <f aca="false">Datos!A82</f>
        <v>46115</v>
      </c>
      <c r="C89" s="15" t="n">
        <f aca="false">Datos!B82</f>
        <v>241.28</v>
      </c>
      <c r="D89" s="19" t="n">
        <f aca="false">IF(A89=1,"",C89-C88)</f>
        <v>8.86000000000001</v>
      </c>
      <c r="E89" s="19" t="n">
        <f aca="false">IF(D89="","",MAX(D89,0))</f>
        <v>8.86000000000001</v>
      </c>
      <c r="F89" s="19" t="n">
        <f aca="false">IF(D89="","",MAX(-D89,0))</f>
        <v>0</v>
      </c>
      <c r="G89" s="16" t="n">
        <f aca="false">IF(A89&lt;N_rsi+1,"",AVERAGE(INDEX($E$9:$E$112,A89-N_rsi+1):E89))</f>
        <v>3.13714285714286</v>
      </c>
      <c r="H89" s="16" t="n">
        <f aca="false">IF(A89&lt;N_rsi+1,"",AVERAGE(INDEX($F$9:$F$112,A89-N_rsi+1):F89))</f>
        <v>2.09857142857143</v>
      </c>
      <c r="I89" s="16" t="n">
        <f aca="false">IF(G89="","",IF(H89=0,"sin pérdidas",G89/H89))</f>
        <v>1.49489448604493</v>
      </c>
      <c r="J89" s="19" t="n">
        <f aca="false">IF(G89="","",IF(G89+H89=0,50,100*G89/(G89+H89)))</f>
        <v>59.9181446111869</v>
      </c>
      <c r="K89" s="16" t="n">
        <f aca="false">IF(A89&lt;N_rsi+1,"",IF(A89=N_rsi+1,AVERAGE($E$9:E89),((N_rsi-1)*K88+E89)/N_rsi))</f>
        <v>3.13203832936002</v>
      </c>
      <c r="L89" s="16" t="n">
        <f aca="false">IF(A89&lt;N_rsi+1,"",IF(A89=N_rsi+1,AVERAGE($F$9:F89),((N_rsi-1)*L88+F89)/N_rsi))</f>
        <v>2.18944272266617</v>
      </c>
      <c r="M89" s="19" t="n">
        <f aca="false">IF(K89="","",IF(K89+L89=0,50,100*K89/(K89+L89)))</f>
        <v>58.8565156718443</v>
      </c>
      <c r="N89" s="11" t="str">
        <f aca="false">IF(M89="","",IF(M89&gt;70,"Sobrecompra",IF(M89&lt;30,"Sobreventa","Equilibrio")))</f>
        <v>Equilibrio</v>
      </c>
    </row>
    <row r="90" customFormat="false" ht="15" hidden="false" customHeight="false" outlineLevel="0" collapsed="false">
      <c r="A90" s="11" t="n">
        <f aca="false">ROW()-8</f>
        <v>82</v>
      </c>
      <c r="B90" s="14" t="n">
        <f aca="false">Datos!A83</f>
        <v>46122</v>
      </c>
      <c r="C90" s="15" t="n">
        <f aca="false">Datos!B83</f>
        <v>242.81</v>
      </c>
      <c r="D90" s="19" t="n">
        <f aca="false">IF(A90=1,"",C90-C89)</f>
        <v>1.53</v>
      </c>
      <c r="E90" s="19" t="n">
        <f aca="false">IF(D90="","",MAX(D90,0))</f>
        <v>1.53</v>
      </c>
      <c r="F90" s="19" t="n">
        <f aca="false">IF(D90="","",MAX(-D90,0))</f>
        <v>0</v>
      </c>
      <c r="G90" s="16" t="n">
        <f aca="false">IF(A90&lt;N_rsi+1,"",AVERAGE(INDEX($E$9:$E$112,A90-N_rsi+1):E90))</f>
        <v>3.24642857142857</v>
      </c>
      <c r="H90" s="16" t="n">
        <f aca="false">IF(A90&lt;N_rsi+1,"",AVERAGE(INDEX($F$9:$F$112,A90-N_rsi+1):F90))</f>
        <v>1.95214285714286</v>
      </c>
      <c r="I90" s="16" t="n">
        <f aca="false">IF(G90="","",IF(H90=0,"sin pérdidas",G90/H90))</f>
        <v>1.66300768386389</v>
      </c>
      <c r="J90" s="19" t="n">
        <f aca="false">IF(G90="","",IF(G90+H90=0,50,100*G90/(G90+H90)))</f>
        <v>62.4484748557296</v>
      </c>
      <c r="K90" s="16" t="n">
        <f aca="false">IF(A90&lt;N_rsi+1,"",IF(A90=N_rsi+1,AVERAGE($E$9:E90),((N_rsi-1)*K89+E90)/N_rsi))</f>
        <v>3.01760702012002</v>
      </c>
      <c r="L90" s="16" t="n">
        <f aca="false">IF(A90&lt;N_rsi+1,"",IF(A90=N_rsi+1,AVERAGE($F$9:F90),((N_rsi-1)*L89+F90)/N_rsi))</f>
        <v>2.03305395676145</v>
      </c>
      <c r="M90" s="19" t="n">
        <f aca="false">IF(K90="","",IF(K90+L90=0,50,100*K90/(K90+L90)))</f>
        <v>59.7467744109652</v>
      </c>
      <c r="N90" s="11" t="str">
        <f aca="false">IF(M90="","",IF(M90&gt;70,"Sobrecompra",IF(M90&lt;30,"Sobreventa","Equilibrio")))</f>
        <v>Equilibrio</v>
      </c>
    </row>
    <row r="91" customFormat="false" ht="15" hidden="false" customHeight="false" outlineLevel="0" collapsed="false">
      <c r="A91" s="11" t="n">
        <f aca="false">ROW()-8</f>
        <v>83</v>
      </c>
      <c r="B91" s="14" t="n">
        <f aca="false">Datos!A84</f>
        <v>46129</v>
      </c>
      <c r="C91" s="15" t="n">
        <f aca="false">Datos!B84</f>
        <v>242.67</v>
      </c>
      <c r="D91" s="19" t="n">
        <f aca="false">IF(A91=1,"",C91-C90)</f>
        <v>-0.140000000000015</v>
      </c>
      <c r="E91" s="19" t="n">
        <f aca="false">IF(D91="","",MAX(D91,0))</f>
        <v>0</v>
      </c>
      <c r="F91" s="19" t="n">
        <f aca="false">IF(D91="","",MAX(-D91,0))</f>
        <v>0.140000000000015</v>
      </c>
      <c r="G91" s="16" t="n">
        <f aca="false">IF(A91&lt;N_rsi+1,"",AVERAGE(INDEX($E$9:$E$112,A91-N_rsi+1):E91))</f>
        <v>3.24642857142857</v>
      </c>
      <c r="H91" s="16" t="n">
        <f aca="false">IF(A91&lt;N_rsi+1,"",AVERAGE(INDEX($F$9:$F$112,A91-N_rsi+1):F91))</f>
        <v>1.59714285714286</v>
      </c>
      <c r="I91" s="16" t="n">
        <f aca="false">IF(G91="","",IF(H91=0,"sin pérdidas",G91/H91))</f>
        <v>2.03264758497316</v>
      </c>
      <c r="J91" s="19" t="n">
        <f aca="false">IF(G91="","",IF(G91+H91=0,50,100*G91/(G91+H91)))</f>
        <v>67.0255124612889</v>
      </c>
      <c r="K91" s="16" t="n">
        <f aca="false">IF(A91&lt;N_rsi+1,"",IF(A91=N_rsi+1,AVERAGE($E$9:E91),((N_rsi-1)*K90+E91)/N_rsi))</f>
        <v>2.80206366154002</v>
      </c>
      <c r="L91" s="16" t="n">
        <f aca="false">IF(A91&lt;N_rsi+1,"",IF(A91=N_rsi+1,AVERAGE($F$9:F91),((N_rsi-1)*L90+F91)/N_rsi))</f>
        <v>1.89783581699277</v>
      </c>
      <c r="M91" s="19" t="n">
        <f aca="false">IF(K91="","",IF(K91+L91=0,50,100*K91/(K91+L91)))</f>
        <v>59.619650895486</v>
      </c>
      <c r="N91" s="11" t="str">
        <f aca="false">IF(M91="","",IF(M91&gt;70,"Sobrecompra",IF(M91&lt;30,"Sobreventa","Equilibrio")))</f>
        <v>Equilibrio</v>
      </c>
    </row>
    <row r="92" customFormat="false" ht="15" hidden="false" customHeight="false" outlineLevel="0" collapsed="false">
      <c r="A92" s="11" t="n">
        <f aca="false">ROW()-8</f>
        <v>84</v>
      </c>
      <c r="B92" s="14" t="n">
        <f aca="false">Datos!A85</f>
        <v>46136</v>
      </c>
      <c r="C92" s="15" t="n">
        <f aca="false">Datos!B85</f>
        <v>232.49</v>
      </c>
      <c r="D92" s="19" t="n">
        <f aca="false">IF(A92=1,"",C92-C91)</f>
        <v>-10.18</v>
      </c>
      <c r="E92" s="19" t="n">
        <f aca="false">IF(D92="","",MAX(D92,0))</f>
        <v>0</v>
      </c>
      <c r="F92" s="19" t="n">
        <f aca="false">IF(D92="","",MAX(-D92,0))</f>
        <v>10.18</v>
      </c>
      <c r="G92" s="16" t="n">
        <f aca="false">IF(A92&lt;N_rsi+1,"",AVERAGE(INDEX($E$9:$E$112,A92-N_rsi+1):E92))</f>
        <v>3.24642857142857</v>
      </c>
      <c r="H92" s="16" t="n">
        <f aca="false">IF(A92&lt;N_rsi+1,"",AVERAGE(INDEX($F$9:$F$112,A92-N_rsi+1):F92))</f>
        <v>2.24142857142857</v>
      </c>
      <c r="I92" s="16" t="n">
        <f aca="false">IF(G92="","",IF(H92=0,"sin pérdidas",G92/H92))</f>
        <v>1.44837476099426</v>
      </c>
      <c r="J92" s="19" t="n">
        <f aca="false">IF(G92="","",IF(G92+H92=0,50,100*G92/(G92+H92)))</f>
        <v>59.156579461148</v>
      </c>
      <c r="K92" s="16" t="n">
        <f aca="false">IF(A92&lt;N_rsi+1,"",IF(A92=N_rsi+1,AVERAGE($E$9:E92),((N_rsi-1)*K91+E92)/N_rsi))</f>
        <v>2.6019162571443</v>
      </c>
      <c r="L92" s="16" t="n">
        <f aca="false">IF(A92&lt;N_rsi+1,"",IF(A92=N_rsi+1,AVERAGE($F$9:F92),((N_rsi-1)*L91+F92)/N_rsi))</f>
        <v>2.48941897292186</v>
      </c>
      <c r="M92" s="19" t="n">
        <f aca="false">IF(K92="","",IF(K92+L92=0,50,100*K92/(K92+L92)))</f>
        <v>51.1047915638918</v>
      </c>
      <c r="N92" s="11" t="str">
        <f aca="false">IF(M92="","",IF(M92&gt;70,"Sobrecompra",IF(M92&lt;30,"Sobreventa","Equilibrio")))</f>
        <v>Equilibrio</v>
      </c>
    </row>
    <row r="93" customFormat="false" ht="15" hidden="false" customHeight="false" outlineLevel="0" collapsed="false">
      <c r="A93" s="11" t="n">
        <f aca="false">ROW()-8</f>
        <v>85</v>
      </c>
      <c r="B93" s="14" t="n">
        <f aca="false">Datos!A86</f>
        <v>46143</v>
      </c>
      <c r="C93" s="15" t="n">
        <f aca="false">Datos!B86</f>
        <v>226.97</v>
      </c>
      <c r="D93" s="19" t="n">
        <f aca="false">IF(A93=1,"",C93-C92)</f>
        <v>-5.52000000000001</v>
      </c>
      <c r="E93" s="19" t="n">
        <f aca="false">IF(D93="","",MAX(D93,0))</f>
        <v>0</v>
      </c>
      <c r="F93" s="19" t="n">
        <f aca="false">IF(D93="","",MAX(-D93,0))</f>
        <v>5.52000000000001</v>
      </c>
      <c r="G93" s="16" t="n">
        <f aca="false">IF(A93&lt;N_rsi+1,"",AVERAGE(INDEX($E$9:$E$112,A93-N_rsi+1):E93))</f>
        <v>2.39142857142857</v>
      </c>
      <c r="H93" s="16" t="n">
        <f aca="false">IF(A93&lt;N_rsi+1,"",AVERAGE(INDEX($F$9:$F$112,A93-N_rsi+1):F93))</f>
        <v>2.63571428571429</v>
      </c>
      <c r="I93" s="16" t="n">
        <f aca="false">IF(G93="","",IF(H93=0,"sin pérdidas",G93/H93))</f>
        <v>0.907317073170732</v>
      </c>
      <c r="J93" s="19" t="n">
        <f aca="false">IF(G93="","",IF(G93+H93=0,50,100*G93/(G93+H93)))</f>
        <v>47.5703324808184</v>
      </c>
      <c r="K93" s="16" t="n">
        <f aca="false">IF(A93&lt;N_rsi+1,"",IF(A93=N_rsi+1,AVERAGE($E$9:E93),((N_rsi-1)*K92+E93)/N_rsi))</f>
        <v>2.41606509591971</v>
      </c>
      <c r="L93" s="16" t="n">
        <f aca="false">IF(A93&lt;N_rsi+1,"",IF(A93=N_rsi+1,AVERAGE($F$9:F93),((N_rsi-1)*L92+F93)/N_rsi))</f>
        <v>2.70588904628458</v>
      </c>
      <c r="M93" s="19" t="n">
        <f aca="false">IF(K93="","",IF(K93+L93=0,50,100*K93/(K93+L93)))</f>
        <v>47.1707678132379</v>
      </c>
      <c r="N93" s="11" t="str">
        <f aca="false">IF(M93="","",IF(M93&gt;70,"Sobrecompra",IF(M93&lt;30,"Sobreventa","Equilibrio")))</f>
        <v>Equilibrio</v>
      </c>
    </row>
    <row r="94" customFormat="false" ht="15" hidden="false" customHeight="false" outlineLevel="0" collapsed="false">
      <c r="A94" s="11" t="n">
        <f aca="false">ROW()-8</f>
        <v>86</v>
      </c>
      <c r="B94" s="14" t="n">
        <f aca="false">Datos!A87</f>
        <v>46150</v>
      </c>
      <c r="C94" s="15" t="n">
        <f aca="false">Datos!B87</f>
        <v>220.67</v>
      </c>
      <c r="D94" s="19" t="n">
        <f aca="false">IF(A94=1,"",C94-C93)</f>
        <v>-6.30000000000001</v>
      </c>
      <c r="E94" s="19" t="n">
        <f aca="false">IF(D94="","",MAX(D94,0))</f>
        <v>0</v>
      </c>
      <c r="F94" s="19" t="n">
        <f aca="false">IF(D94="","",MAX(-D94,0))</f>
        <v>6.30000000000001</v>
      </c>
      <c r="G94" s="16" t="n">
        <f aca="false">IF(A94&lt;N_rsi+1,"",AVERAGE(INDEX($E$9:$E$112,A94-N_rsi+1):E94))</f>
        <v>2.39142857142857</v>
      </c>
      <c r="H94" s="16" t="n">
        <f aca="false">IF(A94&lt;N_rsi+1,"",AVERAGE(INDEX($F$9:$F$112,A94-N_rsi+1):F94))</f>
        <v>2.80214285714286</v>
      </c>
      <c r="I94" s="16" t="n">
        <f aca="false">IF(G94="","",IF(H94=0,"sin pérdidas",G94/H94))</f>
        <v>0.853428498598012</v>
      </c>
      <c r="J94" s="19" t="n">
        <f aca="false">IF(G94="","",IF(G94+H94=0,50,100*G94/(G94+H94)))</f>
        <v>46.0459359097786</v>
      </c>
      <c r="K94" s="16" t="n">
        <f aca="false">IF(A94&lt;N_rsi+1,"",IF(A94=N_rsi+1,AVERAGE($E$9:E94),((N_rsi-1)*K93+E94)/N_rsi))</f>
        <v>2.24348901763973</v>
      </c>
      <c r="L94" s="16" t="n">
        <f aca="false">IF(A94&lt;N_rsi+1,"",IF(A94=N_rsi+1,AVERAGE($F$9:F94),((N_rsi-1)*L93+F94)/N_rsi))</f>
        <v>2.96261125726426</v>
      </c>
      <c r="M94" s="19" t="n">
        <f aca="false">IF(K94="","",IF(K94+L94=0,50,100*K94/(K94+L94)))</f>
        <v>43.0934653420809</v>
      </c>
      <c r="N94" s="11" t="str">
        <f aca="false">IF(M94="","",IF(M94&gt;70,"Sobrecompra",IF(M94&lt;30,"Sobreventa","Equilibrio")))</f>
        <v>Equilibrio</v>
      </c>
    </row>
    <row r="95" customFormat="false" ht="15" hidden="false" customHeight="false" outlineLevel="0" collapsed="false">
      <c r="A95" s="11" t="n">
        <f aca="false">ROW()-8</f>
        <v>87</v>
      </c>
      <c r="B95" s="14" t="n">
        <f aca="false">Datos!A88</f>
        <v>46157</v>
      </c>
      <c r="C95" s="15" t="n">
        <f aca="false">Datos!B88</f>
        <v>212.34</v>
      </c>
      <c r="D95" s="19" t="n">
        <f aca="false">IF(A95=1,"",C95-C94)</f>
        <v>-8.32999999999998</v>
      </c>
      <c r="E95" s="19" t="n">
        <f aca="false">IF(D95="","",MAX(D95,0))</f>
        <v>0</v>
      </c>
      <c r="F95" s="19" t="n">
        <f aca="false">IF(D95="","",MAX(-D95,0))</f>
        <v>8.32999999999998</v>
      </c>
      <c r="G95" s="16" t="n">
        <f aca="false">IF(A95&lt;N_rsi+1,"",AVERAGE(INDEX($E$9:$E$112,A95-N_rsi+1):E95))</f>
        <v>2.39142857142857</v>
      </c>
      <c r="H95" s="16" t="n">
        <f aca="false">IF(A95&lt;N_rsi+1,"",AVERAGE(INDEX($F$9:$F$112,A95-N_rsi+1):F95))</f>
        <v>3.38071428571429</v>
      </c>
      <c r="I95" s="16" t="n">
        <f aca="false">IF(G95="","",IF(H95=0,"sin pérdidas",G95/H95))</f>
        <v>0.707373758715403</v>
      </c>
      <c r="J95" s="19" t="n">
        <f aca="false">IF(G95="","",IF(G95+H95=0,50,100*G95/(G95+H95)))</f>
        <v>41.4305160252444</v>
      </c>
      <c r="K95" s="16" t="n">
        <f aca="false">IF(A95&lt;N_rsi+1,"",IF(A95=N_rsi+1,AVERAGE($E$9:E95),((N_rsi-1)*K94+E95)/N_rsi))</f>
        <v>2.08323980209403</v>
      </c>
      <c r="L95" s="16" t="n">
        <f aca="false">IF(A95&lt;N_rsi+1,"",IF(A95=N_rsi+1,AVERAGE($F$9:F95),((N_rsi-1)*L94+F95)/N_rsi))</f>
        <v>3.34599616745967</v>
      </c>
      <c r="M95" s="19" t="n">
        <f aca="false">IF(K95="","",IF(K95+L95=0,50,100*K95/(K95+L95)))</f>
        <v>38.3707728633737</v>
      </c>
      <c r="N95" s="11" t="str">
        <f aca="false">IF(M95="","",IF(M95&gt;70,"Sobrecompra",IF(M95&lt;30,"Sobreventa","Equilibrio")))</f>
        <v>Equilibrio</v>
      </c>
    </row>
    <row r="96" customFormat="false" ht="15" hidden="false" customHeight="false" outlineLevel="0" collapsed="false">
      <c r="A96" s="11" t="n">
        <f aca="false">ROW()-8</f>
        <v>88</v>
      </c>
      <c r="B96" s="14" t="n">
        <f aca="false">Datos!A89</f>
        <v>46164</v>
      </c>
      <c r="C96" s="15" t="n">
        <f aca="false">Datos!B89</f>
        <v>217.64</v>
      </c>
      <c r="D96" s="19" t="n">
        <f aca="false">IF(A96=1,"",C96-C95)</f>
        <v>5.29999999999998</v>
      </c>
      <c r="E96" s="19" t="n">
        <f aca="false">IF(D96="","",MAX(D96,0))</f>
        <v>5.29999999999998</v>
      </c>
      <c r="F96" s="19" t="n">
        <f aca="false">IF(D96="","",MAX(-D96,0))</f>
        <v>0</v>
      </c>
      <c r="G96" s="16" t="n">
        <f aca="false">IF(A96&lt;N_rsi+1,"",AVERAGE(INDEX($E$9:$E$112,A96-N_rsi+1):E96))</f>
        <v>2.77</v>
      </c>
      <c r="H96" s="16" t="n">
        <f aca="false">IF(A96&lt;N_rsi+1,"",AVERAGE(INDEX($F$9:$F$112,A96-N_rsi+1):F96))</f>
        <v>3.03714285714286</v>
      </c>
      <c r="I96" s="16" t="n">
        <f aca="false">IF(G96="","",IF(H96=0,"sin pérdidas",G96/H96))</f>
        <v>0.912041392285983</v>
      </c>
      <c r="J96" s="19" t="n">
        <f aca="false">IF(G96="","",IF(G96+H96=0,50,100*G96/(G96+H96)))</f>
        <v>47.69987699877</v>
      </c>
      <c r="K96" s="16" t="n">
        <f aca="false">IF(A96&lt;N_rsi+1,"",IF(A96=N_rsi+1,AVERAGE($E$9:E96),((N_rsi-1)*K95+E96)/N_rsi))</f>
        <v>2.31300838765874</v>
      </c>
      <c r="L96" s="16" t="n">
        <f aca="false">IF(A96&lt;N_rsi+1,"",IF(A96=N_rsi+1,AVERAGE($F$9:F96),((N_rsi-1)*L95+F96)/N_rsi))</f>
        <v>3.10699644121255</v>
      </c>
      <c r="M96" s="19" t="n">
        <f aca="false">IF(K96="","",IF(K96+L96=0,50,100*K96/(K96+L96)))</f>
        <v>42.6753934855889</v>
      </c>
      <c r="N96" s="11" t="str">
        <f aca="false">IF(M96="","",IF(M96&gt;70,"Sobrecompra",IF(M96&lt;30,"Sobreventa","Equilibrio")))</f>
        <v>Equilibrio</v>
      </c>
    </row>
    <row r="97" customFormat="false" ht="15" hidden="false" customHeight="false" outlineLevel="0" collapsed="false">
      <c r="A97" s="11" t="n">
        <f aca="false">ROW()-8</f>
        <v>89</v>
      </c>
      <c r="B97" s="14" t="n">
        <f aca="false">Datos!A90</f>
        <v>46171</v>
      </c>
      <c r="C97" s="15" t="n">
        <f aca="false">Datos!B90</f>
        <v>225.44</v>
      </c>
      <c r="D97" s="19" t="n">
        <f aca="false">IF(A97=1,"",C97-C96)</f>
        <v>7.80000000000001</v>
      </c>
      <c r="E97" s="19" t="n">
        <f aca="false">IF(D97="","",MAX(D97,0))</f>
        <v>7.80000000000001</v>
      </c>
      <c r="F97" s="19" t="n">
        <f aca="false">IF(D97="","",MAX(-D97,0))</f>
        <v>0</v>
      </c>
      <c r="G97" s="16" t="n">
        <f aca="false">IF(A97&lt;N_rsi+1,"",AVERAGE(INDEX($E$9:$E$112,A97-N_rsi+1):E97))</f>
        <v>2.09214285714286</v>
      </c>
      <c r="H97" s="16" t="n">
        <f aca="false">IF(A97&lt;N_rsi+1,"",AVERAGE(INDEX($F$9:$F$112,A97-N_rsi+1):F97))</f>
        <v>3.03714285714286</v>
      </c>
      <c r="I97" s="16" t="n">
        <f aca="false">IF(G97="","",IF(H97=0,"sin pérdidas",G97/H97))</f>
        <v>0.688852304797743</v>
      </c>
      <c r="J97" s="19" t="n">
        <f aca="false">IF(G97="","",IF(G97+H97=0,50,100*G97/(G97+H97)))</f>
        <v>40.788191059741</v>
      </c>
      <c r="K97" s="16" t="n">
        <f aca="false">IF(A97&lt;N_rsi+1,"",IF(A97=N_rsi+1,AVERAGE($E$9:E97),((N_rsi-1)*K96+E97)/N_rsi))</f>
        <v>2.70493635996884</v>
      </c>
      <c r="L97" s="16" t="n">
        <f aca="false">IF(A97&lt;N_rsi+1,"",IF(A97=N_rsi+1,AVERAGE($F$9:F97),((N_rsi-1)*L96+F97)/N_rsi))</f>
        <v>2.88506812398308</v>
      </c>
      <c r="M97" s="19" t="n">
        <f aca="false">IF(K97="","",IF(K97+L97=0,50,100*K97/(K97+L97)))</f>
        <v>48.388804834313</v>
      </c>
      <c r="N97" s="11" t="str">
        <f aca="false">IF(M97="","",IF(M97&gt;70,"Sobrecompra",IF(M97&lt;30,"Sobreventa","Equilibrio")))</f>
        <v>Equilibrio</v>
      </c>
    </row>
    <row r="98" customFormat="false" ht="15" hidden="false" customHeight="false" outlineLevel="0" collapsed="false">
      <c r="A98" s="11" t="n">
        <f aca="false">ROW()-8</f>
        <v>90</v>
      </c>
      <c r="B98" s="14" t="n">
        <f aca="false">Datos!A91</f>
        <v>46178</v>
      </c>
      <c r="C98" s="15" t="n">
        <f aca="false">Datos!B91</f>
        <v>232.31</v>
      </c>
      <c r="D98" s="19" t="n">
        <f aca="false">IF(A98=1,"",C98-C97)</f>
        <v>6.87</v>
      </c>
      <c r="E98" s="19" t="n">
        <f aca="false">IF(D98="","",MAX(D98,0))</f>
        <v>6.87</v>
      </c>
      <c r="F98" s="19" t="n">
        <f aca="false">IF(D98="","",MAX(-D98,0))</f>
        <v>0</v>
      </c>
      <c r="G98" s="16" t="n">
        <f aca="false">IF(A98&lt;N_rsi+1,"",AVERAGE(INDEX($E$9:$E$112,A98-N_rsi+1):E98))</f>
        <v>2.16857142857143</v>
      </c>
      <c r="H98" s="16" t="n">
        <f aca="false">IF(A98&lt;N_rsi+1,"",AVERAGE(INDEX($F$9:$F$112,A98-N_rsi+1):F98))</f>
        <v>3.03714285714286</v>
      </c>
      <c r="I98" s="16" t="n">
        <f aca="false">IF(G98="","",IF(H98=0,"sin pérdidas",G98/H98))</f>
        <v>0.714016933207902</v>
      </c>
      <c r="J98" s="19" t="n">
        <f aca="false">IF(G98="","",IF(G98+H98=0,50,100*G98/(G98+H98)))</f>
        <v>41.6575192096597</v>
      </c>
      <c r="K98" s="16" t="n">
        <f aca="false">IF(A98&lt;N_rsi+1,"",IF(A98=N_rsi+1,AVERAGE($E$9:E98),((N_rsi-1)*K97+E98)/N_rsi))</f>
        <v>3.00244090568535</v>
      </c>
      <c r="L98" s="16" t="n">
        <f aca="false">IF(A98&lt;N_rsi+1,"",IF(A98=N_rsi+1,AVERAGE($F$9:F98),((N_rsi-1)*L97+F98)/N_rsi))</f>
        <v>2.67899182941286</v>
      </c>
      <c r="M98" s="19" t="n">
        <f aca="false">IF(K98="","",IF(K98+L98=0,50,100*K98/(K98+L98)))</f>
        <v>52.8465449768886</v>
      </c>
      <c r="N98" s="11" t="str">
        <f aca="false">IF(M98="","",IF(M98&gt;70,"Sobrecompra",IF(M98&lt;30,"Sobreventa","Equilibrio")))</f>
        <v>Equilibrio</v>
      </c>
    </row>
    <row r="99" customFormat="false" ht="15" hidden="false" customHeight="false" outlineLevel="0" collapsed="false">
      <c r="A99" s="11" t="n">
        <f aca="false">ROW()-8</f>
        <v>91</v>
      </c>
      <c r="B99" s="14" t="n">
        <f aca="false">Datos!A92</f>
        <v>46185</v>
      </c>
      <c r="C99" s="15" t="n">
        <f aca="false">Datos!B92</f>
        <v>225.72</v>
      </c>
      <c r="D99" s="19" t="n">
        <f aca="false">IF(A99=1,"",C99-C98)</f>
        <v>-6.59</v>
      </c>
      <c r="E99" s="19" t="n">
        <f aca="false">IF(D99="","",MAX(D99,0))</f>
        <v>0</v>
      </c>
      <c r="F99" s="19" t="n">
        <f aca="false">IF(D99="","",MAX(-D99,0))</f>
        <v>6.59</v>
      </c>
      <c r="G99" s="16" t="n">
        <f aca="false">IF(A99&lt;N_rsi+1,"",AVERAGE(INDEX($E$9:$E$112,A99-N_rsi+1):E99))</f>
        <v>2.16857142857143</v>
      </c>
      <c r="H99" s="16" t="n">
        <f aca="false">IF(A99&lt;N_rsi+1,"",AVERAGE(INDEX($F$9:$F$112,A99-N_rsi+1):F99))</f>
        <v>3.29428571428571</v>
      </c>
      <c r="I99" s="16" t="n">
        <f aca="false">IF(G99="","",IF(H99=0,"sin pérdidas",G99/H99))</f>
        <v>0.658282740676496</v>
      </c>
      <c r="J99" s="19" t="n">
        <f aca="false">IF(G99="","",IF(G99+H99=0,50,100*G99/(G99+H99)))</f>
        <v>39.6966527196653</v>
      </c>
      <c r="K99" s="16" t="n">
        <f aca="false">IF(A99&lt;N_rsi+1,"",IF(A99=N_rsi+1,AVERAGE($E$9:E99),((N_rsi-1)*K98+E99)/N_rsi))</f>
        <v>2.78798084099354</v>
      </c>
      <c r="L99" s="16" t="n">
        <f aca="false">IF(A99&lt;N_rsi+1,"",IF(A99=N_rsi+1,AVERAGE($F$9:F99),((N_rsi-1)*L98+F99)/N_rsi))</f>
        <v>2.95834955588337</v>
      </c>
      <c r="M99" s="19" t="n">
        <f aca="false">IF(K99="","",IF(K99+L99=0,50,100*K99/(K99+L99)))</f>
        <v>48.5175868500145</v>
      </c>
      <c r="N99" s="11" t="str">
        <f aca="false">IF(M99="","",IF(M99&gt;70,"Sobrecompra",IF(M99&lt;30,"Sobreventa","Equilibrio")))</f>
        <v>Equilibrio</v>
      </c>
    </row>
    <row r="100" customFormat="false" ht="15" hidden="false" customHeight="false" outlineLevel="0" collapsed="false">
      <c r="A100" s="11" t="n">
        <f aca="false">ROW()-8</f>
        <v>92</v>
      </c>
      <c r="B100" s="14" t="n">
        <f aca="false">Datos!A93</f>
        <v>46192</v>
      </c>
      <c r="C100" s="15" t="n">
        <f aca="false">Datos!B93</f>
        <v>218.44</v>
      </c>
      <c r="D100" s="19" t="n">
        <f aca="false">IF(A100=1,"",C100-C99)</f>
        <v>-7.28</v>
      </c>
      <c r="E100" s="19" t="n">
        <f aca="false">IF(D100="","",MAX(D100,0))</f>
        <v>0</v>
      </c>
      <c r="F100" s="19" t="n">
        <f aca="false">IF(D100="","",MAX(-D100,0))</f>
        <v>7.28</v>
      </c>
      <c r="G100" s="16" t="n">
        <f aca="false">IF(A100&lt;N_rsi+1,"",AVERAGE(INDEX($E$9:$E$112,A100-N_rsi+1):E100))</f>
        <v>2.16857142857143</v>
      </c>
      <c r="H100" s="16" t="n">
        <f aca="false">IF(A100&lt;N_rsi+1,"",AVERAGE(INDEX($F$9:$F$112,A100-N_rsi+1):F100))</f>
        <v>3.60714285714286</v>
      </c>
      <c r="I100" s="16" t="n">
        <f aca="false">IF(G100="","",IF(H100=0,"sin pérdidas",G100/H100))</f>
        <v>0.601188118811881</v>
      </c>
      <c r="J100" s="19" t="n">
        <f aca="false">IF(G100="","",IF(G100+H100=0,50,100*G100/(G100+H100)))</f>
        <v>37.5463764531289</v>
      </c>
      <c r="K100" s="16" t="n">
        <f aca="false">IF(A100&lt;N_rsi+1,"",IF(A100=N_rsi+1,AVERAGE($E$9:E100),((N_rsi-1)*K99+E100)/N_rsi))</f>
        <v>2.58883935235114</v>
      </c>
      <c r="L100" s="16" t="n">
        <f aca="false">IF(A100&lt;N_rsi+1,"",IF(A100=N_rsi+1,AVERAGE($F$9:F100),((N_rsi-1)*L99+F100)/N_rsi))</f>
        <v>3.26703887332027</v>
      </c>
      <c r="M100" s="19" t="n">
        <f aca="false">IF(K100="","",IF(K100+L100=0,50,100*K100/(K100+L100)))</f>
        <v>44.2092415959404</v>
      </c>
      <c r="N100" s="11" t="str">
        <f aca="false">IF(M100="","",IF(M100&gt;70,"Sobrecompra",IF(M100&lt;30,"Sobreventa","Equilibrio")))</f>
        <v>Equilibrio</v>
      </c>
    </row>
    <row r="101" customFormat="false" ht="15" hidden="false" customHeight="false" outlineLevel="0" collapsed="false">
      <c r="A101" s="11" t="n">
        <f aca="false">ROW()-8</f>
        <v>93</v>
      </c>
      <c r="B101" s="14" t="n">
        <f aca="false">Datos!A94</f>
        <v>46199</v>
      </c>
      <c r="C101" s="15" t="n">
        <f aca="false">Datos!B94</f>
        <v>222.1</v>
      </c>
      <c r="D101" s="19" t="n">
        <f aca="false">IF(A101=1,"",C101-C100)</f>
        <v>3.66</v>
      </c>
      <c r="E101" s="19" t="n">
        <f aca="false">IF(D101="","",MAX(D101,0))</f>
        <v>3.66</v>
      </c>
      <c r="F101" s="19" t="n">
        <f aca="false">IF(D101="","",MAX(-D101,0))</f>
        <v>0</v>
      </c>
      <c r="G101" s="16" t="n">
        <f aca="false">IF(A101&lt;N_rsi+1,"",AVERAGE(INDEX($E$9:$E$112,A101-N_rsi+1):E101))</f>
        <v>2.43</v>
      </c>
      <c r="H101" s="16" t="n">
        <f aca="false">IF(A101&lt;N_rsi+1,"",AVERAGE(INDEX($F$9:$F$112,A101-N_rsi+1):F101))</f>
        <v>3.58</v>
      </c>
      <c r="I101" s="16" t="n">
        <f aca="false">IF(G101="","",IF(H101=0,"sin pérdidas",G101/H101))</f>
        <v>0.67877094972067</v>
      </c>
      <c r="J101" s="19" t="n">
        <f aca="false">IF(G101="","",IF(G101+H101=0,50,100*G101/(G101+H101)))</f>
        <v>40.432612312812</v>
      </c>
      <c r="K101" s="16" t="n">
        <f aca="false">IF(A101&lt;N_rsi+1,"",IF(A101=N_rsi+1,AVERAGE($E$9:E101),((N_rsi-1)*K100+E101)/N_rsi))</f>
        <v>2.6653508271832</v>
      </c>
      <c r="L101" s="16" t="n">
        <f aca="false">IF(A101&lt;N_rsi+1,"",IF(A101=N_rsi+1,AVERAGE($F$9:F101),((N_rsi-1)*L100+F101)/N_rsi))</f>
        <v>3.0336789537974</v>
      </c>
      <c r="M101" s="19" t="n">
        <f aca="false">IF(K101="","",IF(K101+L101=0,50,100*K101/(K101+L101)))</f>
        <v>46.7685014750808</v>
      </c>
      <c r="N101" s="11" t="str">
        <f aca="false">IF(M101="","",IF(M101&gt;70,"Sobrecompra",IF(M101&lt;30,"Sobreventa","Equilibrio")))</f>
        <v>Equilibrio</v>
      </c>
    </row>
    <row r="102" customFormat="false" ht="15" hidden="false" customHeight="false" outlineLevel="0" collapsed="false">
      <c r="A102" s="11" t="n">
        <f aca="false">ROW()-8</f>
        <v>94</v>
      </c>
      <c r="B102" s="14" t="n">
        <f aca="false">Datos!A95</f>
        <v>46206</v>
      </c>
      <c r="C102" s="15" t="n">
        <f aca="false">Datos!B95</f>
        <v>224.43</v>
      </c>
      <c r="D102" s="19" t="n">
        <f aca="false">IF(A102=1,"",C102-C101)</f>
        <v>2.33000000000001</v>
      </c>
      <c r="E102" s="19" t="n">
        <f aca="false">IF(D102="","",MAX(D102,0))</f>
        <v>2.33000000000001</v>
      </c>
      <c r="F102" s="19" t="n">
        <f aca="false">IF(D102="","",MAX(-D102,0))</f>
        <v>0</v>
      </c>
      <c r="G102" s="16" t="n">
        <f aca="false">IF(A102&lt;N_rsi+1,"",AVERAGE(INDEX($E$9:$E$112,A102-N_rsi+1):E102))</f>
        <v>2.59642857142857</v>
      </c>
      <c r="H102" s="16" t="n">
        <f aca="false">IF(A102&lt;N_rsi+1,"",AVERAGE(INDEX($F$9:$F$112,A102-N_rsi+1):F102))</f>
        <v>3.16714285714286</v>
      </c>
      <c r="I102" s="16" t="n">
        <f aca="false">IF(G102="","",IF(H102=0,"sin pérdidas",G102/H102))</f>
        <v>0.81980153360397</v>
      </c>
      <c r="J102" s="19" t="n">
        <f aca="false">IF(G102="","",IF(G102+H102=0,50,100*G102/(G102+H102)))</f>
        <v>45.0489527822531</v>
      </c>
      <c r="K102" s="16" t="n">
        <f aca="false">IF(A102&lt;N_rsi+1,"",IF(A102=N_rsi+1,AVERAGE($E$9:E102),((N_rsi-1)*K101+E102)/N_rsi))</f>
        <v>2.64139719667012</v>
      </c>
      <c r="L102" s="16" t="n">
        <f aca="false">IF(A102&lt;N_rsi+1,"",IF(A102=N_rsi+1,AVERAGE($F$9:F102),((N_rsi-1)*L101+F102)/N_rsi))</f>
        <v>2.81698759995472</v>
      </c>
      <c r="M102" s="19" t="n">
        <f aca="false">IF(K102="","",IF(K102+L102=0,50,100*K102/(K102+L102)))</f>
        <v>48.3915534555829</v>
      </c>
      <c r="N102" s="11" t="str">
        <f aca="false">IF(M102="","",IF(M102&gt;70,"Sobrecompra",IF(M102&lt;30,"Sobreventa","Equilibrio")))</f>
        <v>Equilibrio</v>
      </c>
    </row>
    <row r="103" customFormat="false" ht="15" hidden="false" customHeight="false" outlineLevel="0" collapsed="false">
      <c r="A103" s="11" t="n">
        <f aca="false">ROW()-8</f>
        <v>95</v>
      </c>
      <c r="B103" s="14" t="n">
        <f aca="false">Datos!A96</f>
        <v>46213</v>
      </c>
      <c r="C103" s="15" t="n">
        <f aca="false">Datos!B96</f>
        <v>222.12</v>
      </c>
      <c r="D103" s="19" t="n">
        <f aca="false">IF(A103=1,"",C103-C102)</f>
        <v>-2.31</v>
      </c>
      <c r="E103" s="19" t="n">
        <f aca="false">IF(D103="","",MAX(D103,0))</f>
        <v>0</v>
      </c>
      <c r="F103" s="19" t="n">
        <f aca="false">IF(D103="","",MAX(-D103,0))</f>
        <v>2.31</v>
      </c>
      <c r="G103" s="16" t="n">
        <f aca="false">IF(A103&lt;N_rsi+1,"",AVERAGE(INDEX($E$9:$E$112,A103-N_rsi+1):E103))</f>
        <v>1.96357142857143</v>
      </c>
      <c r="H103" s="16" t="n">
        <f aca="false">IF(A103&lt;N_rsi+1,"",AVERAGE(INDEX($F$9:$F$112,A103-N_rsi+1):F103))</f>
        <v>3.33214285714286</v>
      </c>
      <c r="I103" s="16" t="n">
        <f aca="false">IF(G103="","",IF(H103=0,"sin pérdidas",G103/H103))</f>
        <v>0.589281886387996</v>
      </c>
      <c r="J103" s="19" t="n">
        <f aca="false">IF(G103="","",IF(G103+H103=0,50,100*G103/(G103+H103)))</f>
        <v>37.07850013488</v>
      </c>
      <c r="K103" s="16" t="n">
        <f aca="false">IF(A103&lt;N_rsi+1,"",IF(A103=N_rsi+1,AVERAGE($E$9:E103),((N_rsi-1)*K102+E103)/N_rsi))</f>
        <v>2.45272596833654</v>
      </c>
      <c r="L103" s="16" t="n">
        <f aca="false">IF(A103&lt;N_rsi+1,"",IF(A103=N_rsi+1,AVERAGE($F$9:F103),((N_rsi-1)*L102+F103)/N_rsi))</f>
        <v>2.78077419995796</v>
      </c>
      <c r="M103" s="19" t="n">
        <f aca="false">IF(K103="","",IF(K103+L103=0,50,100*K103/(K103+L103)))</f>
        <v>46.8658811400371</v>
      </c>
      <c r="N103" s="11" t="str">
        <f aca="false">IF(M103="","",IF(M103&gt;70,"Sobrecompra",IF(M103&lt;30,"Sobreventa","Equilibrio")))</f>
        <v>Equilibrio</v>
      </c>
    </row>
    <row r="104" customFormat="false" ht="15" hidden="false" customHeight="false" outlineLevel="0" collapsed="false">
      <c r="A104" s="11" t="n">
        <f aca="false">ROW()-8</f>
        <v>96</v>
      </c>
      <c r="B104" s="14" t="n">
        <f aca="false">Datos!A97</f>
        <v>46220</v>
      </c>
      <c r="C104" s="15" t="n">
        <f aca="false">Datos!B97</f>
        <v>216.6</v>
      </c>
      <c r="D104" s="19" t="n">
        <f aca="false">IF(A104=1,"",C104-C103)</f>
        <v>-5.52000000000001</v>
      </c>
      <c r="E104" s="19" t="n">
        <f aca="false">IF(D104="","",MAX(D104,0))</f>
        <v>0</v>
      </c>
      <c r="F104" s="19" t="n">
        <f aca="false">IF(D104="","",MAX(-D104,0))</f>
        <v>5.52000000000001</v>
      </c>
      <c r="G104" s="16" t="n">
        <f aca="false">IF(A104&lt;N_rsi+1,"",AVERAGE(INDEX($E$9:$E$112,A104-N_rsi+1):E104))</f>
        <v>1.85428571428571</v>
      </c>
      <c r="H104" s="16" t="n">
        <f aca="false">IF(A104&lt;N_rsi+1,"",AVERAGE(INDEX($F$9:$F$112,A104-N_rsi+1):F104))</f>
        <v>3.72642857142857</v>
      </c>
      <c r="I104" s="16" t="n">
        <f aca="false">IF(G104="","",IF(H104=0,"sin pérdidas",G104/H104))</f>
        <v>0.497603986965689</v>
      </c>
      <c r="J104" s="19" t="n">
        <f aca="false">IF(G104="","",IF(G104+H104=0,50,100*G104/(G104+H104)))</f>
        <v>33.2266734928965</v>
      </c>
      <c r="K104" s="16" t="n">
        <f aca="false">IF(A104&lt;N_rsi+1,"",IF(A104=N_rsi+1,AVERAGE($E$9:E104),((N_rsi-1)*K103+E104)/N_rsi))</f>
        <v>2.2775312563125</v>
      </c>
      <c r="L104" s="16" t="n">
        <f aca="false">IF(A104&lt;N_rsi+1,"",IF(A104=N_rsi+1,AVERAGE($F$9:F104),((N_rsi-1)*L103+F104)/N_rsi))</f>
        <v>2.97643318567525</v>
      </c>
      <c r="M104" s="19" t="n">
        <f aca="false">IF(K104="","",IF(K104+L104=0,50,100*K104/(K104+L104)))</f>
        <v>43.3488136712786</v>
      </c>
      <c r="N104" s="11" t="str">
        <f aca="false">IF(M104="","",IF(M104&gt;70,"Sobrecompra",IF(M104&lt;30,"Sobreventa","Equilibrio")))</f>
        <v>Equilibrio</v>
      </c>
    </row>
    <row r="105" customFormat="false" ht="15" hidden="false" customHeight="false" outlineLevel="0" collapsed="false">
      <c r="A105" s="11" t="n">
        <f aca="false">ROW()-8</f>
        <v>97</v>
      </c>
      <c r="B105" s="14" t="n">
        <f aca="false">Datos!A98</f>
        <v>46227</v>
      </c>
      <c r="C105" s="15" t="n">
        <f aca="false">Datos!B98</f>
        <v>210.71</v>
      </c>
      <c r="D105" s="19" t="n">
        <f aca="false">IF(A105=1,"",C105-C104)</f>
        <v>-5.88999999999999</v>
      </c>
      <c r="E105" s="19" t="n">
        <f aca="false">IF(D105="","",MAX(D105,0))</f>
        <v>0</v>
      </c>
      <c r="F105" s="19" t="n">
        <f aca="false">IF(D105="","",MAX(-D105,0))</f>
        <v>5.88999999999999</v>
      </c>
      <c r="G105" s="16" t="n">
        <f aca="false">IF(A105&lt;N_rsi+1,"",AVERAGE(INDEX($E$9:$E$112,A105-N_rsi+1):E105))</f>
        <v>1.85428571428571</v>
      </c>
      <c r="H105" s="16" t="n">
        <f aca="false">IF(A105&lt;N_rsi+1,"",AVERAGE(INDEX($F$9:$F$112,A105-N_rsi+1):F105))</f>
        <v>4.13714285714286</v>
      </c>
      <c r="I105" s="16" t="n">
        <f aca="false">IF(G105="","",IF(H105=0,"sin pérdidas",G105/H105))</f>
        <v>0.448204419889503</v>
      </c>
      <c r="J105" s="19" t="n">
        <f aca="false">IF(G105="","",IF(G105+H105=0,50,100*G105/(G105+H105)))</f>
        <v>30.9489747257988</v>
      </c>
      <c r="K105" s="16" t="n">
        <f aca="false">IF(A105&lt;N_rsi+1,"",IF(A105=N_rsi+1,AVERAGE($E$9:E105),((N_rsi-1)*K104+E105)/N_rsi))</f>
        <v>2.11485045229018</v>
      </c>
      <c r="L105" s="16" t="n">
        <f aca="false">IF(A105&lt;N_rsi+1,"",IF(A105=N_rsi+1,AVERAGE($F$9:F105),((N_rsi-1)*L104+F105)/N_rsi))</f>
        <v>3.18454510098416</v>
      </c>
      <c r="M105" s="19" t="n">
        <f aca="false">IF(K105="","",IF(K105+L105=0,50,100*K105/(K105+L105)))</f>
        <v>39.9073900226881</v>
      </c>
      <c r="N105" s="11" t="str">
        <f aca="false">IF(M105="","",IF(M105&gt;70,"Sobrecompra",IF(M105&lt;30,"Sobreventa","Equilibrio")))</f>
        <v>Equilibrio</v>
      </c>
    </row>
    <row r="106" customFormat="false" ht="15" hidden="false" customHeight="false" outlineLevel="0" collapsed="false">
      <c r="A106" s="11" t="n">
        <f aca="false">ROW()-8</f>
        <v>98</v>
      </c>
      <c r="B106" s="14" t="n">
        <f aca="false">Datos!A99</f>
        <v>46234</v>
      </c>
      <c r="C106" s="15" t="n">
        <f aca="false">Datos!B99</f>
        <v>210.84</v>
      </c>
      <c r="D106" s="19" t="n">
        <f aca="false">IF(A106=1,"",C106-C105)</f>
        <v>0.129999999999995</v>
      </c>
      <c r="E106" s="19" t="n">
        <f aca="false">IF(D106="","",MAX(D106,0))</f>
        <v>0.129999999999995</v>
      </c>
      <c r="F106" s="19" t="n">
        <f aca="false">IF(D106="","",MAX(-D106,0))</f>
        <v>0</v>
      </c>
      <c r="G106" s="16" t="n">
        <f aca="false">IF(A106&lt;N_rsi+1,"",AVERAGE(INDEX($E$9:$E$112,A106-N_rsi+1):E106))</f>
        <v>1.86357142857143</v>
      </c>
      <c r="H106" s="16" t="n">
        <f aca="false">IF(A106&lt;N_rsi+1,"",AVERAGE(INDEX($F$9:$F$112,A106-N_rsi+1):F106))</f>
        <v>3.41</v>
      </c>
      <c r="I106" s="16" t="n">
        <f aca="false">IF(G106="","",IF(H106=0,"sin pérdidas",G106/H106))</f>
        <v>0.546501885211563</v>
      </c>
      <c r="J106" s="19" t="n">
        <f aca="false">IF(G106="","",IF(G106+H106=0,50,100*G106/(G106+H106)))</f>
        <v>35.3379385073818</v>
      </c>
      <c r="K106" s="16" t="n">
        <f aca="false">IF(A106&lt;N_rsi+1,"",IF(A106=N_rsi+1,AVERAGE($E$9:E106),((N_rsi-1)*K105+E106)/N_rsi))</f>
        <v>1.97307541998374</v>
      </c>
      <c r="L106" s="16" t="n">
        <f aca="false">IF(A106&lt;N_rsi+1,"",IF(A106=N_rsi+1,AVERAGE($F$9:F106),((N_rsi-1)*L105+F106)/N_rsi))</f>
        <v>2.957077593771</v>
      </c>
      <c r="M106" s="19" t="n">
        <f aca="false">IF(K106="","",IF(K106+L106=0,50,100*K106/(K106+L106)))</f>
        <v>40.0205716633746</v>
      </c>
      <c r="N106" s="11" t="str">
        <f aca="false">IF(M106="","",IF(M106&gt;70,"Sobrecompra",IF(M106&lt;30,"Sobreventa","Equilibrio")))</f>
        <v>Equilibrio</v>
      </c>
    </row>
    <row r="107" customFormat="false" ht="15" hidden="false" customHeight="false" outlineLevel="0" collapsed="false">
      <c r="A107" s="11" t="n">
        <f aca="false">ROW()-8</f>
        <v>99</v>
      </c>
      <c r="B107" s="14" t="n">
        <f aca="false">Datos!A100</f>
        <v>46241</v>
      </c>
      <c r="C107" s="15" t="n">
        <f aca="false">Datos!B100</f>
        <v>206.07</v>
      </c>
      <c r="D107" s="19" t="n">
        <f aca="false">IF(A107=1,"",C107-C106)</f>
        <v>-4.77000000000001</v>
      </c>
      <c r="E107" s="19" t="n">
        <f aca="false">IF(D107="","",MAX(D107,0))</f>
        <v>0</v>
      </c>
      <c r="F107" s="19" t="n">
        <f aca="false">IF(D107="","",MAX(-D107,0))</f>
        <v>4.77000000000001</v>
      </c>
      <c r="G107" s="16" t="n">
        <f aca="false">IF(A107&lt;N_rsi+1,"",AVERAGE(INDEX($E$9:$E$112,A107-N_rsi+1):E107))</f>
        <v>1.86357142857143</v>
      </c>
      <c r="H107" s="16" t="n">
        <f aca="false">IF(A107&lt;N_rsi+1,"",AVERAGE(INDEX($F$9:$F$112,A107-N_rsi+1):F107))</f>
        <v>3.35642857142857</v>
      </c>
      <c r="I107" s="16" t="n">
        <f aca="false">IF(G107="","",IF(H107=0,"sin pérdidas",G107/H107))</f>
        <v>0.555224515854437</v>
      </c>
      <c r="J107" s="19" t="n">
        <f aca="false">IF(G107="","",IF(G107+H107=0,50,100*G107/(G107+H107)))</f>
        <v>35.7006020799124</v>
      </c>
      <c r="K107" s="16" t="n">
        <f aca="false">IF(A107&lt;N_rsi+1,"",IF(A107=N_rsi+1,AVERAGE($E$9:E107),((N_rsi-1)*K106+E107)/N_rsi))</f>
        <v>1.83214146141347</v>
      </c>
      <c r="L107" s="16" t="n">
        <f aca="false">IF(A107&lt;N_rsi+1,"",IF(A107=N_rsi+1,AVERAGE($F$9:F107),((N_rsi-1)*L106+F107)/N_rsi))</f>
        <v>3.08657205135879</v>
      </c>
      <c r="M107" s="19" t="n">
        <f aca="false">IF(K107="","",IF(K107+L107=0,50,100*K107/(K107+L107)))</f>
        <v>37.2483873406331</v>
      </c>
      <c r="N107" s="11" t="str">
        <f aca="false">IF(M107="","",IF(M107&gt;70,"Sobrecompra",IF(M107&lt;30,"Sobreventa","Equilibrio")))</f>
        <v>Equilibrio</v>
      </c>
    </row>
    <row r="108" customFormat="false" ht="15" hidden="false" customHeight="false" outlineLevel="0" collapsed="false">
      <c r="A108" s="11" t="n">
        <f aca="false">ROW()-8</f>
        <v>100</v>
      </c>
      <c r="B108" s="14" t="n">
        <f aca="false">Datos!A101</f>
        <v>46248</v>
      </c>
      <c r="C108" s="15" t="n">
        <f aca="false">Datos!B101</f>
        <v>207.56</v>
      </c>
      <c r="D108" s="19" t="n">
        <f aca="false">IF(A108=1,"",C108-C107)</f>
        <v>1.49000000000001</v>
      </c>
      <c r="E108" s="19" t="n">
        <f aca="false">IF(D108="","",MAX(D108,0))</f>
        <v>1.49000000000001</v>
      </c>
      <c r="F108" s="19" t="n">
        <f aca="false">IF(D108="","",MAX(-D108,0))</f>
        <v>0</v>
      </c>
      <c r="G108" s="16" t="n">
        <f aca="false">IF(A108&lt;N_rsi+1,"",AVERAGE(INDEX($E$9:$E$112,A108-N_rsi+1):E108))</f>
        <v>1.97</v>
      </c>
      <c r="H108" s="16" t="n">
        <f aca="false">IF(A108&lt;N_rsi+1,"",AVERAGE(INDEX($F$9:$F$112,A108-N_rsi+1):F108))</f>
        <v>2.90642857142857</v>
      </c>
      <c r="I108" s="16" t="n">
        <f aca="false">IF(G108="","",IF(H108=0,"sin pérdidas",G108/H108))</f>
        <v>0.677807815188007</v>
      </c>
      <c r="J108" s="19" t="n">
        <f aca="false">IF(G108="","",IF(G108+H108=0,50,100*G108/(G108+H108)))</f>
        <v>40.3984180459939</v>
      </c>
      <c r="K108" s="16" t="n">
        <f aca="false">IF(A108&lt;N_rsi+1,"",IF(A108=N_rsi+1,AVERAGE($E$9:E108),((N_rsi-1)*K107+E108)/N_rsi))</f>
        <v>1.80770278559822</v>
      </c>
      <c r="L108" s="16" t="n">
        <f aca="false">IF(A108&lt;N_rsi+1,"",IF(A108=N_rsi+1,AVERAGE($F$9:F108),((N_rsi-1)*L107+F108)/N_rsi))</f>
        <v>2.86610261911888</v>
      </c>
      <c r="M108" s="19" t="n">
        <f aca="false">IF(K108="","",IF(K108+L108=0,50,100*K108/(K108+L108)))</f>
        <v>38.6773224185537</v>
      </c>
      <c r="N108" s="11" t="str">
        <f aca="false">IF(M108="","",IF(M108&gt;70,"Sobrecompra",IF(M108&lt;30,"Sobreventa","Equilibrio")))</f>
        <v>Equilibrio</v>
      </c>
    </row>
    <row r="109" customFormat="false" ht="15" hidden="false" customHeight="false" outlineLevel="0" collapsed="false">
      <c r="A109" s="11" t="n">
        <f aca="false">ROW()-8</f>
        <v>101</v>
      </c>
      <c r="B109" s="14" t="n">
        <f aca="false">Datos!A102</f>
        <v>46255</v>
      </c>
      <c r="C109" s="15" t="n">
        <f aca="false">Datos!B102</f>
        <v>200.85</v>
      </c>
      <c r="D109" s="19" t="n">
        <f aca="false">IF(A109=1,"",C109-C108)</f>
        <v>-6.71000000000001</v>
      </c>
      <c r="E109" s="19" t="n">
        <f aca="false">IF(D109="","",MAX(D109,0))</f>
        <v>0</v>
      </c>
      <c r="F109" s="19" t="n">
        <f aca="false">IF(D109="","",MAX(-D109,0))</f>
        <v>6.71000000000001</v>
      </c>
      <c r="G109" s="16" t="n">
        <f aca="false">IF(A109&lt;N_rsi+1,"",AVERAGE(INDEX($E$9:$E$112,A109-N_rsi+1):E109))</f>
        <v>1.97</v>
      </c>
      <c r="H109" s="16" t="n">
        <f aca="false">IF(A109&lt;N_rsi+1,"",AVERAGE(INDEX($F$9:$F$112,A109-N_rsi+1):F109))</f>
        <v>2.79071428571429</v>
      </c>
      <c r="I109" s="16" t="n">
        <f aca="false">IF(G109="","",IF(H109=0,"sin pérdidas",G109/H109))</f>
        <v>0.705912464806757</v>
      </c>
      <c r="J109" s="19" t="n">
        <f aca="false">IF(G109="","",IF(G109+H109=0,50,100*G109/(G109+H109)))</f>
        <v>41.3803450862716</v>
      </c>
      <c r="K109" s="16" t="n">
        <f aca="false">IF(A109&lt;N_rsi+1,"",IF(A109=N_rsi+1,AVERAGE($E$9:E109),((N_rsi-1)*K108+E109)/N_rsi))</f>
        <v>1.67858115805549</v>
      </c>
      <c r="L109" s="16" t="n">
        <f aca="false">IF(A109&lt;N_rsi+1,"",IF(A109=N_rsi+1,AVERAGE($F$9:F109),((N_rsi-1)*L108+F109)/N_rsi))</f>
        <v>3.14066671775324</v>
      </c>
      <c r="M109" s="19" t="n">
        <f aca="false">IF(K109="","",IF(K109+L109=0,50,100*K109/(K109+L109)))</f>
        <v>34.8307703050822</v>
      </c>
      <c r="N109" s="11" t="str">
        <f aca="false">IF(M109="","",IF(M109&gt;70,"Sobrecompra",IF(M109&lt;30,"Sobreventa","Equilibrio")))</f>
        <v>Equilibrio</v>
      </c>
    </row>
    <row r="110" customFormat="false" ht="15" hidden="false" customHeight="false" outlineLevel="0" collapsed="false">
      <c r="A110" s="11" t="n">
        <f aca="false">ROW()-8</f>
        <v>102</v>
      </c>
      <c r="B110" s="14" t="n">
        <f aca="false">Datos!A103</f>
        <v>46262</v>
      </c>
      <c r="C110" s="15" t="n">
        <f aca="false">Datos!B103</f>
        <v>199.64</v>
      </c>
      <c r="D110" s="19" t="n">
        <f aca="false">IF(A110=1,"",C110-C109)</f>
        <v>-1.21000000000001</v>
      </c>
      <c r="E110" s="19" t="n">
        <f aca="false">IF(D110="","",MAX(D110,0))</f>
        <v>0</v>
      </c>
      <c r="F110" s="19" t="n">
        <f aca="false">IF(D110="","",MAX(-D110,0))</f>
        <v>1.21000000000001</v>
      </c>
      <c r="G110" s="16" t="n">
        <f aca="false">IF(A110&lt;N_rsi+1,"",AVERAGE(INDEX($E$9:$E$112,A110-N_rsi+1):E110))</f>
        <v>1.59142857142857</v>
      </c>
      <c r="H110" s="16" t="n">
        <f aca="false">IF(A110&lt;N_rsi+1,"",AVERAGE(INDEX($F$9:$F$112,A110-N_rsi+1):F110))</f>
        <v>2.87714285714286</v>
      </c>
      <c r="I110" s="16" t="n">
        <f aca="false">IF(G110="","",IF(H110=0,"sin pérdidas",G110/H110))</f>
        <v>0.553128103277061</v>
      </c>
      <c r="J110" s="19" t="n">
        <f aca="false">IF(G110="","",IF(G110+H110=0,50,100*G110/(G110+H110)))</f>
        <v>35.613810741688</v>
      </c>
      <c r="K110" s="16" t="n">
        <f aca="false">IF(A110&lt;N_rsi+1,"",IF(A110=N_rsi+1,AVERAGE($E$9:E110),((N_rsi-1)*K109+E110)/N_rsi))</f>
        <v>1.55868250390867</v>
      </c>
      <c r="L110" s="16" t="n">
        <f aca="false">IF(A110&lt;N_rsi+1,"",IF(A110=N_rsi+1,AVERAGE($F$9:F110),((N_rsi-1)*L109+F110)/N_rsi))</f>
        <v>3.00276195219944</v>
      </c>
      <c r="M110" s="19" t="n">
        <f aca="false">IF(K110="","",IF(K110+L110=0,50,100*K110/(K110+L110)))</f>
        <v>34.1708096833555</v>
      </c>
      <c r="N110" s="11" t="str">
        <f aca="false">IF(M110="","",IF(M110&gt;70,"Sobrecompra",IF(M110&lt;30,"Sobreventa","Equilibrio")))</f>
        <v>Equilibrio</v>
      </c>
    </row>
    <row r="111" customFormat="false" ht="15" hidden="false" customHeight="false" outlineLevel="0" collapsed="false">
      <c r="A111" s="11" t="n">
        <f aca="false">ROW()-8</f>
        <v>103</v>
      </c>
      <c r="B111" s="14" t="n">
        <f aca="false">Datos!A104</f>
        <v>46269</v>
      </c>
      <c r="C111" s="15" t="n">
        <f aca="false">Datos!B104</f>
        <v>214.17</v>
      </c>
      <c r="D111" s="19" t="n">
        <f aca="false">IF(A111=1,"",C111-C110)</f>
        <v>14.53</v>
      </c>
      <c r="E111" s="19" t="n">
        <f aca="false">IF(D111="","",MAX(D111,0))</f>
        <v>14.53</v>
      </c>
      <c r="F111" s="19" t="n">
        <f aca="false">IF(D111="","",MAX(-D111,0))</f>
        <v>0</v>
      </c>
      <c r="G111" s="16" t="n">
        <f aca="false">IF(A111&lt;N_rsi+1,"",AVERAGE(INDEX($E$9:$E$112,A111-N_rsi+1):E111))</f>
        <v>2.07214285714286</v>
      </c>
      <c r="H111" s="16" t="n">
        <f aca="false">IF(A111&lt;N_rsi+1,"",AVERAGE(INDEX($F$9:$F$112,A111-N_rsi+1):F111))</f>
        <v>2.87714285714286</v>
      </c>
      <c r="I111" s="16" t="n">
        <f aca="false">IF(G111="","",IF(H111=0,"sin pérdidas",G111/H111))</f>
        <v>0.720208540218471</v>
      </c>
      <c r="J111" s="19" t="n">
        <f aca="false">IF(G111="","",IF(G111+H111=0,50,100*G111/(G111+H111)))</f>
        <v>41.8675133496897</v>
      </c>
      <c r="K111" s="16" t="n">
        <f aca="false">IF(A111&lt;N_rsi+1,"",IF(A111=N_rsi+1,AVERAGE($E$9:E111),((N_rsi-1)*K110+E111)/N_rsi))</f>
        <v>2.48520518220091</v>
      </c>
      <c r="L111" s="16" t="n">
        <f aca="false">IF(A111&lt;N_rsi+1,"",IF(A111=N_rsi+1,AVERAGE($F$9:F111),((N_rsi-1)*L110+F111)/N_rsi))</f>
        <v>2.78827895561377</v>
      </c>
      <c r="M111" s="19" t="n">
        <f aca="false">IF(K111="","",IF(K111+L111=0,50,100*K111/(K111+L111)))</f>
        <v>47.1264370433998</v>
      </c>
      <c r="N111" s="11" t="str">
        <f aca="false">IF(M111="","",IF(M111&gt;70,"Sobrecompra",IF(M111&lt;30,"Sobreventa","Equilibrio")))</f>
        <v>Equilibrio</v>
      </c>
    </row>
    <row r="112" customFormat="false" ht="15" hidden="false" customHeight="false" outlineLevel="0" collapsed="false">
      <c r="A112" s="11" t="n">
        <f aca="false">ROW()-8</f>
        <v>104</v>
      </c>
      <c r="B112" s="14" t="n">
        <f aca="false">Datos!A105</f>
        <v>46276</v>
      </c>
      <c r="C112" s="15" t="n">
        <f aca="false">Datos!B105</f>
        <v>218.77</v>
      </c>
      <c r="D112" s="19" t="n">
        <f aca="false">IF(A112=1,"",C112-C111)</f>
        <v>4.60000000000002</v>
      </c>
      <c r="E112" s="19" t="n">
        <f aca="false">IF(D112="","",MAX(D112,0))</f>
        <v>4.60000000000002</v>
      </c>
      <c r="F112" s="19" t="n">
        <f aca="false">IF(D112="","",MAX(-D112,0))</f>
        <v>0</v>
      </c>
      <c r="G112" s="16" t="n">
        <f aca="false">IF(A112&lt;N_rsi+1,"",AVERAGE(INDEX($E$9:$E$112,A112-N_rsi+1):E112))</f>
        <v>1.91</v>
      </c>
      <c r="H112" s="16" t="n">
        <f aca="false">IF(A112&lt;N_rsi+1,"",AVERAGE(INDEX($F$9:$F$112,A112-N_rsi+1):F112))</f>
        <v>2.87714285714286</v>
      </c>
      <c r="I112" s="16" t="n">
        <f aca="false">IF(G112="","",IF(H112=0,"sin pérdidas",G112/H112))</f>
        <v>0.663853028798412</v>
      </c>
      <c r="J112" s="19" t="n">
        <f aca="false">IF(G112="","",IF(G112+H112=0,50,100*G112/(G112+H112)))</f>
        <v>39.8985377499254</v>
      </c>
      <c r="K112" s="16" t="n">
        <f aca="false">IF(A112&lt;N_rsi+1,"",IF(A112=N_rsi+1,AVERAGE($E$9:E112),((N_rsi-1)*K111+E112)/N_rsi))</f>
        <v>2.63626195490085</v>
      </c>
      <c r="L112" s="16" t="n">
        <f aca="false">IF(A112&lt;N_rsi+1,"",IF(A112=N_rsi+1,AVERAGE($F$9:F112),((N_rsi-1)*L111+F112)/N_rsi))</f>
        <v>2.58911617306993</v>
      </c>
      <c r="M112" s="19" t="n">
        <f aca="false">IF(K112="","",IF(K112+L112=0,50,100*K112/(K112+L112)))</f>
        <v>50.4511231596672</v>
      </c>
      <c r="N112" s="11" t="str">
        <f aca="false">IF(M112="","",IF(M112&gt;70,"Sobrecompra",IF(M112&lt;30,"Sobreventa","Equilibrio")))</f>
        <v>Equilibrio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6" min="3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13" t="s">
        <v>83</v>
      </c>
    </row>
    <row r="4" customFormat="false" ht="15" hidden="false" customHeight="false" outlineLevel="0" collapsed="false">
      <c r="B4" s="9" t="s">
        <v>84</v>
      </c>
      <c r="C4" s="9" t="s">
        <v>85</v>
      </c>
      <c r="D4" s="9" t="s">
        <v>52</v>
      </c>
    </row>
    <row r="5" customFormat="false" ht="15" hidden="false" customHeight="false" outlineLevel="0" collapsed="false">
      <c r="A5" s="0" t="s">
        <v>38</v>
      </c>
      <c r="B5" s="10" t="n">
        <v>3</v>
      </c>
      <c r="C5" s="10" t="n">
        <v>6</v>
      </c>
      <c r="D5" s="10" t="n">
        <v>3</v>
      </c>
    </row>
    <row r="6" customFormat="false" ht="15" hidden="false" customHeight="false" outlineLevel="0" collapsed="false">
      <c r="A6" s="0" t="s">
        <v>86</v>
      </c>
      <c r="B6" s="16" t="n">
        <f aca="false">2/(B5+1)</f>
        <v>0.5</v>
      </c>
      <c r="C6" s="16" t="n">
        <f aca="false">2/(C5+1)</f>
        <v>0.285714285714286</v>
      </c>
      <c r="D6" s="16" t="n">
        <f aca="false">2/(D5+1)</f>
        <v>0.5</v>
      </c>
    </row>
    <row r="8" customFormat="false" ht="15" hidden="false" customHeight="false" outlineLevel="0" collapsed="false">
      <c r="A8" s="5" t="s">
        <v>48</v>
      </c>
      <c r="B8" s="5" t="s">
        <v>30</v>
      </c>
      <c r="C8" s="5" t="s">
        <v>87</v>
      </c>
      <c r="D8" s="5" t="s">
        <v>88</v>
      </c>
      <c r="E8" s="5" t="s">
        <v>51</v>
      </c>
      <c r="F8" s="5" t="s">
        <v>89</v>
      </c>
      <c r="G8" s="5" t="s">
        <v>53</v>
      </c>
    </row>
    <row r="9" customFormat="false" ht="15" hidden="false" customHeight="false" outlineLevel="0" collapsed="false">
      <c r="A9" s="11" t="n">
        <v>1</v>
      </c>
      <c r="B9" s="10" t="n">
        <v>10</v>
      </c>
      <c r="C9" s="16" t="str">
        <f aca="false">IF(A9&lt;$B$5,"",IF(A9=$B$5,AVERAGE($B$9:B9),$B$6*B9+(1-$B$6)*C8))</f>
        <v/>
      </c>
      <c r="D9" s="16" t="str">
        <f aca="false">IF(A9&lt;$C$5,"",IF(A9=$C$5,AVERAGE($B$9:B9),$C$6*B9+(1-$C$6)*D8))</f>
        <v/>
      </c>
      <c r="E9" s="16" t="str">
        <f aca="false">IF(D9="","",C9-D9)</f>
        <v/>
      </c>
      <c r="F9" s="16" t="str">
        <f aca="false">IF(A9&lt;$C$5+$D$5-1,"",IF(A9=$C$5+$D$5-1,AVERAGE($E$9:E9),$D$6*E9+(1-$D$6)*F8))</f>
        <v/>
      </c>
      <c r="G9" s="16" t="str">
        <f aca="false">IF(F9="","",E9-F9)</f>
        <v/>
      </c>
      <c r="I9" s="9" t="s">
        <v>90</v>
      </c>
    </row>
    <row r="10" customFormat="false" ht="15" hidden="false" customHeight="false" outlineLevel="0" collapsed="false">
      <c r="A10" s="11" t="n">
        <v>2</v>
      </c>
      <c r="B10" s="10" t="n">
        <v>11</v>
      </c>
      <c r="C10" s="16" t="str">
        <f aca="false">IF(A10&lt;$B$5,"",IF(A10=$B$5,AVERAGE($B$9:B10),$B$6*B10+(1-$B$6)*C9))</f>
        <v/>
      </c>
      <c r="D10" s="16" t="str">
        <f aca="false">IF(A10&lt;$C$5,"",IF(A10=$C$5,AVERAGE($B$9:B10),$C$6*B10+(1-$C$6)*D9))</f>
        <v/>
      </c>
      <c r="E10" s="16" t="str">
        <f aca="false">IF(D10="","",C10-D10)</f>
        <v/>
      </c>
      <c r="F10" s="16" t="str">
        <f aca="false">IF(A10&lt;$C$5+$D$5-1,"",IF(A10=$C$5+$D$5-1,AVERAGE($E$9:E10),$D$6*E10+(1-$D$6)*F9))</f>
        <v/>
      </c>
      <c r="G10" s="16" t="str">
        <f aca="false">IF(F10="","",E10-F10)</f>
        <v/>
      </c>
      <c r="I10" s="13" t="s">
        <v>91</v>
      </c>
    </row>
    <row r="11" customFormat="false" ht="15" hidden="false" customHeight="false" outlineLevel="0" collapsed="false">
      <c r="A11" s="11" t="n">
        <v>3</v>
      </c>
      <c r="B11" s="10" t="n">
        <v>12</v>
      </c>
      <c r="C11" s="16" t="n">
        <f aca="false">IF(A11&lt;$B$5,"",IF(A11=$B$5,AVERAGE($B$9:B11),$B$6*B11+(1-$B$6)*C10))</f>
        <v>11</v>
      </c>
      <c r="D11" s="16" t="str">
        <f aca="false">IF(A11&lt;$C$5,"",IF(A11=$C$5,AVERAGE($B$9:B11),$C$6*B11+(1-$C$6)*D10))</f>
        <v/>
      </c>
      <c r="E11" s="16" t="str">
        <f aca="false">IF(D11="","",C11-D11)</f>
        <v/>
      </c>
      <c r="F11" s="16" t="str">
        <f aca="false">IF(A11&lt;$C$5+$D$5-1,"",IF(A11=$C$5+$D$5-1,AVERAGE($E$9:E11),$D$6*E11+(1-$D$6)*F10))</f>
        <v/>
      </c>
      <c r="G11" s="16" t="str">
        <f aca="false">IF(F11="","",E11-F11)</f>
        <v/>
      </c>
      <c r="I11" s="13" t="s">
        <v>92</v>
      </c>
    </row>
    <row r="12" customFormat="false" ht="15" hidden="false" customHeight="false" outlineLevel="0" collapsed="false">
      <c r="A12" s="11" t="n">
        <v>4</v>
      </c>
      <c r="B12" s="10" t="n">
        <v>11</v>
      </c>
      <c r="C12" s="16" t="n">
        <f aca="false">IF(A12&lt;$B$5,"",IF(A12=$B$5,AVERAGE($B$9:B12),$B$6*B12+(1-$B$6)*C11))</f>
        <v>11</v>
      </c>
      <c r="D12" s="16" t="str">
        <f aca="false">IF(A12&lt;$C$5,"",IF(A12=$C$5,AVERAGE($B$9:B12),$C$6*B12+(1-$C$6)*D11))</f>
        <v/>
      </c>
      <c r="E12" s="16" t="str">
        <f aca="false">IF(D12="","",C12-D12)</f>
        <v/>
      </c>
      <c r="F12" s="16" t="str">
        <f aca="false">IF(A12&lt;$C$5+$D$5-1,"",IF(A12=$C$5+$D$5-1,AVERAGE($E$9:E12),$D$6*E12+(1-$D$6)*F11))</f>
        <v/>
      </c>
      <c r="G12" s="16" t="str">
        <f aca="false">IF(F12="","",E12-F12)</f>
        <v/>
      </c>
      <c r="I12" s="13" t="s">
        <v>93</v>
      </c>
    </row>
    <row r="13" customFormat="false" ht="15" hidden="false" customHeight="false" outlineLevel="0" collapsed="false">
      <c r="A13" s="11" t="n">
        <v>5</v>
      </c>
      <c r="B13" s="10" t="n">
        <v>13</v>
      </c>
      <c r="C13" s="16" t="n">
        <f aca="false">IF(A13&lt;$B$5,"",IF(A13=$B$5,AVERAGE($B$9:B13),$B$6*B13+(1-$B$6)*C12))</f>
        <v>12</v>
      </c>
      <c r="D13" s="16" t="str">
        <f aca="false">IF(A13&lt;$C$5,"",IF(A13=$C$5,AVERAGE($B$9:B13),$C$6*B13+(1-$C$6)*D12))</f>
        <v/>
      </c>
      <c r="E13" s="16" t="str">
        <f aca="false">IF(D13="","",C13-D13)</f>
        <v/>
      </c>
      <c r="F13" s="16" t="str">
        <f aca="false">IF(A13&lt;$C$5+$D$5-1,"",IF(A13=$C$5+$D$5-1,AVERAGE($E$9:E13),$D$6*E13+(1-$D$6)*F12))</f>
        <v/>
      </c>
      <c r="G13" s="16" t="str">
        <f aca="false">IF(F13="","",E13-F13)</f>
        <v/>
      </c>
    </row>
    <row r="14" customFormat="false" ht="15" hidden="false" customHeight="false" outlineLevel="0" collapsed="false">
      <c r="A14" s="11" t="n">
        <v>6</v>
      </c>
      <c r="B14" s="10" t="n">
        <v>14</v>
      </c>
      <c r="C14" s="16" t="n">
        <f aca="false">IF(A14&lt;$B$5,"",IF(A14=$B$5,AVERAGE($B$9:B14),$B$6*B14+(1-$B$6)*C13))</f>
        <v>13</v>
      </c>
      <c r="D14" s="16" t="n">
        <f aca="false">IF(A14&lt;$C$5,"",IF(A14=$C$5,AVERAGE($B$9:B14),$C$6*B14+(1-$C$6)*D13))</f>
        <v>11.8333333333333</v>
      </c>
      <c r="E14" s="16" t="n">
        <f aca="false">IF(D14="","",C14-D14)</f>
        <v>1.16666666666667</v>
      </c>
      <c r="F14" s="16" t="str">
        <f aca="false">IF(A14&lt;$C$5+$D$5-1,"",IF(A14=$C$5+$D$5-1,AVERAGE($E$9:E14),$D$6*E14+(1-$D$6)*F13))</f>
        <v/>
      </c>
      <c r="G14" s="16" t="str">
        <f aca="false">IF(F14="","",E14-F14)</f>
        <v/>
      </c>
    </row>
    <row r="15" customFormat="false" ht="15" hidden="false" customHeight="false" outlineLevel="0" collapsed="false">
      <c r="A15" s="11" t="n">
        <v>7</v>
      </c>
      <c r="B15" s="10" t="n">
        <v>13</v>
      </c>
      <c r="C15" s="16" t="n">
        <f aca="false">IF(A15&lt;$B$5,"",IF(A15=$B$5,AVERAGE($B$9:B15),$B$6*B15+(1-$B$6)*C14))</f>
        <v>13</v>
      </c>
      <c r="D15" s="16" t="n">
        <f aca="false">IF(A15&lt;$C$5,"",IF(A15=$C$5,AVERAGE($B$9:B15),$C$6*B15+(1-$C$6)*D14))</f>
        <v>12.1666666666667</v>
      </c>
      <c r="E15" s="16" t="n">
        <f aca="false">IF(D15="","",C15-D15)</f>
        <v>0.833333333333334</v>
      </c>
      <c r="F15" s="16" t="str">
        <f aca="false">IF(A15&lt;$C$5+$D$5-1,"",IF(A15=$C$5+$D$5-1,AVERAGE($E$9:E15),$D$6*E15+(1-$D$6)*F14))</f>
        <v/>
      </c>
      <c r="G15" s="16" t="str">
        <f aca="false">IF(F15="","",E15-F15)</f>
        <v/>
      </c>
    </row>
    <row r="16" customFormat="false" ht="15" hidden="false" customHeight="false" outlineLevel="0" collapsed="false">
      <c r="A16" s="11" t="n">
        <v>8</v>
      </c>
      <c r="B16" s="10" t="n">
        <v>15</v>
      </c>
      <c r="C16" s="16" t="n">
        <f aca="false">IF(A16&lt;$B$5,"",IF(A16=$B$5,AVERAGE($B$9:B16),$B$6*B16+(1-$B$6)*C15))</f>
        <v>14</v>
      </c>
      <c r="D16" s="16" t="n">
        <f aca="false">IF(A16&lt;$C$5,"",IF(A16=$C$5,AVERAGE($B$9:B16),$C$6*B16+(1-$C$6)*D15))</f>
        <v>12.9761904761905</v>
      </c>
      <c r="E16" s="16" t="n">
        <f aca="false">IF(D16="","",C16-D16)</f>
        <v>1.02380952380953</v>
      </c>
      <c r="F16" s="16" t="n">
        <f aca="false">IF(A16&lt;$C$5+$D$5-1,"",IF(A16=$C$5+$D$5-1,AVERAGE($E$9:E16),$D$6*E16+(1-$D$6)*F15))</f>
        <v>1.00793650793651</v>
      </c>
      <c r="G16" s="16" t="n">
        <f aca="false">IF(F16="","",E16-F16)</f>
        <v>0.0158730158730169</v>
      </c>
    </row>
    <row r="17" customFormat="false" ht="15" hidden="false" customHeight="false" outlineLevel="0" collapsed="false">
      <c r="A17" s="11" t="n">
        <v>9</v>
      </c>
      <c r="B17" s="10" t="n">
        <v>16</v>
      </c>
      <c r="C17" s="16" t="n">
        <f aca="false">IF(A17&lt;$B$5,"",IF(A17=$B$5,AVERAGE($B$9:B17),$B$6*B17+(1-$B$6)*C16))</f>
        <v>15</v>
      </c>
      <c r="D17" s="16" t="n">
        <f aca="false">IF(A17&lt;$C$5,"",IF(A17=$C$5,AVERAGE($B$9:B17),$C$6*B17+(1-$C$6)*D16))</f>
        <v>13.8401360544218</v>
      </c>
      <c r="E17" s="16" t="n">
        <f aca="false">IF(D17="","",C17-D17)</f>
        <v>1.15986394557823</v>
      </c>
      <c r="F17" s="16" t="n">
        <f aca="false">IF(A17&lt;$C$5+$D$5-1,"",IF(A17=$C$5+$D$5-1,AVERAGE($E$9:E17),$D$6*E17+(1-$D$6)*F16))</f>
        <v>1.08390022675737</v>
      </c>
      <c r="G17" s="16" t="n">
        <f aca="false">IF(F17="","",E17-F17)</f>
        <v>0.0759637188208617</v>
      </c>
    </row>
    <row r="18" customFormat="false" ht="15" hidden="false" customHeight="false" outlineLevel="0" collapsed="false">
      <c r="A18" s="11" t="n">
        <v>10</v>
      </c>
      <c r="B18" s="10" t="n">
        <v>15</v>
      </c>
      <c r="C18" s="16" t="n">
        <f aca="false">IF(A18&lt;$B$5,"",IF(A18=$B$5,AVERAGE($B$9:B18),$B$6*B18+(1-$B$6)*C17))</f>
        <v>15</v>
      </c>
      <c r="D18" s="16" t="n">
        <f aca="false">IF(A18&lt;$C$5,"",IF(A18=$C$5,AVERAGE($B$9:B18),$C$6*B18+(1-$C$6)*D17))</f>
        <v>14.1715257531584</v>
      </c>
      <c r="E18" s="16" t="n">
        <f aca="false">IF(D18="","",C18-D18)</f>
        <v>0.828474246841594</v>
      </c>
      <c r="F18" s="16" t="n">
        <f aca="false">IF(A18&lt;$C$5+$D$5-1,"",IF(A18=$C$5+$D$5-1,AVERAGE($E$9:E18),$D$6*E18+(1-$D$6)*F17))</f>
        <v>0.956187236799482</v>
      </c>
      <c r="G18" s="16" t="n">
        <f aca="false">IF(F18="","",E18-F18)</f>
        <v>-0.127712989957888</v>
      </c>
    </row>
    <row r="19" customFormat="false" ht="15" hidden="false" customHeight="false" outlineLevel="0" collapsed="false">
      <c r="A19" s="11" t="n">
        <v>11</v>
      </c>
      <c r="B19" s="10" t="n">
        <v>14</v>
      </c>
      <c r="C19" s="16" t="n">
        <f aca="false">IF(A19&lt;$B$5,"",IF(A19=$B$5,AVERAGE($B$9:B19),$B$6*B19+(1-$B$6)*C18))</f>
        <v>14.5</v>
      </c>
      <c r="D19" s="16" t="n">
        <f aca="false">IF(A19&lt;$C$5,"",IF(A19=$C$5,AVERAGE($B$9:B19),$C$6*B19+(1-$C$6)*D18))</f>
        <v>14.1225183951131</v>
      </c>
      <c r="E19" s="16" t="n">
        <f aca="false">IF(D19="","",C19-D19)</f>
        <v>0.377481604886853</v>
      </c>
      <c r="F19" s="16" t="n">
        <f aca="false">IF(A19&lt;$C$5+$D$5-1,"",IF(A19=$C$5+$D$5-1,AVERAGE($E$9:E19),$D$6*E19+(1-$D$6)*F18))</f>
        <v>0.666834420843168</v>
      </c>
      <c r="G19" s="16" t="n">
        <f aca="false">IF(F19="","",E19-F19)</f>
        <v>-0.289352815956315</v>
      </c>
    </row>
    <row r="20" customFormat="false" ht="15" hidden="false" customHeight="false" outlineLevel="0" collapsed="false">
      <c r="A20" s="11" t="n">
        <v>12</v>
      </c>
      <c r="B20" s="10" t="n">
        <v>15</v>
      </c>
      <c r="C20" s="16" t="n">
        <f aca="false">IF(A20&lt;$B$5,"",IF(A20=$B$5,AVERAGE($B$9:B20),$B$6*B20+(1-$B$6)*C19))</f>
        <v>14.75</v>
      </c>
      <c r="D20" s="16" t="n">
        <f aca="false">IF(A20&lt;$C$5,"",IF(A20=$C$5,AVERAGE($B$9:B20),$C$6*B20+(1-$C$6)*D19))</f>
        <v>14.3732274250808</v>
      </c>
      <c r="E20" s="16" t="n">
        <f aca="false">IF(D20="","",C20-D20)</f>
        <v>0.37677257491918</v>
      </c>
      <c r="F20" s="16" t="n">
        <f aca="false">IF(A20&lt;$C$5+$D$5-1,"",IF(A20=$C$5+$D$5-1,AVERAGE($E$9:E20),$D$6*E20+(1-$D$6)*F19))</f>
        <v>0.521803497881174</v>
      </c>
      <c r="G20" s="16" t="n">
        <f aca="false">IF(F20="","",E20-F20)</f>
        <v>-0.145030922961994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1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2026-09-15T19:23:28Z</dcterms:created>
  <dc:creator>openpyxl</dc:creator>
  <dc:description/>
  <dc:language>en-US</dc:language>
  <cp:lastModifiedBy/>
  <dcterms:modified xsi:type="dcterms:W3CDTF">2026-09-15T19:23:30Z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